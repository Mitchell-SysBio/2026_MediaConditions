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sydneyschock/UMass Medical School Dropbox/Sydney Schock/Mitchell Lab/LabMembers/SydneyS/Resistome screens/Finalized Analysis Pipelines/MGC calculation records/Full BMD Screen/"/>
    </mc:Choice>
  </mc:AlternateContent>
  <xr:revisionPtr revIDLastSave="0" documentId="13_ncr:1_{5DB7FB52-532E-404D-93B7-D0D494A87AC4}" xr6:coauthVersionLast="47" xr6:coauthVersionMax="47" xr10:uidLastSave="{00000000-0000-0000-0000-000000000000}"/>
  <bookViews>
    <workbookView xWindow="0" yWindow="1060" windowWidth="28080" windowHeight="16940" xr2:uid="{AAAD8330-6783-7C48-B600-19BF030CCE5F}"/>
  </bookViews>
  <sheets>
    <sheet name="Median MGCs" sheetId="1" r:id="rId1"/>
    <sheet name="MGCs each plate" sheetId="2" r:id="rId2"/>
    <sheet name="Well calls each plate" sheetId="3" r:id="rId3"/>
    <sheet name="Plate map ke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5" i="3" l="1"/>
  <c r="R11" i="3"/>
  <c r="E14" i="4"/>
  <c r="F14" i="4"/>
  <c r="G14" i="4"/>
  <c r="H14" i="4"/>
  <c r="I14" i="4"/>
  <c r="J14" i="4"/>
  <c r="K14" i="4"/>
  <c r="L14" i="4"/>
  <c r="M14" i="4"/>
  <c r="N14" i="4"/>
  <c r="D14" i="4"/>
  <c r="P6" i="2" a="1"/>
  <c r="P6" i="2" l="1"/>
  <c r="O6" i="2" a="1"/>
  <c r="Q6" i="2" a="1"/>
  <c r="Q6" i="2" l="1"/>
  <c r="O6" i="2"/>
  <c r="G6" i="1" l="1"/>
  <c r="O7" i="2" l="1" a="1"/>
  <c r="BE8" i="2" a="1"/>
  <c r="Y11" i="2" a="1"/>
  <c r="BH7" i="2" a="1"/>
  <c r="R6" i="2" a="1"/>
  <c r="Q9" i="2" a="1"/>
  <c r="O10" i="2" a="1"/>
  <c r="T13" i="2" a="1"/>
  <c r="AK7" i="2" a="1"/>
  <c r="AU3" i="2" a="1"/>
  <c r="AO10" i="2" a="1"/>
  <c r="BJ8" i="2" a="1"/>
  <c r="AW4" i="2" a="1"/>
  <c r="AL5" i="2" a="1"/>
  <c r="Y5" i="2" a="1"/>
  <c r="BL7" i="2" a="1"/>
  <c r="Y13" i="2" a="1"/>
  <c r="AB11" i="2" a="1"/>
  <c r="I7" i="2" a="1"/>
  <c r="AA12" i="2" a="1"/>
  <c r="AJ5" i="2" a="1"/>
  <c r="AP6" i="2" a="1"/>
  <c r="AW10" i="2" a="1"/>
  <c r="O12" i="2" a="1"/>
  <c r="BD12" i="2" a="1"/>
  <c r="AC9" i="2" a="1"/>
  <c r="AX7" i="2" a="1"/>
  <c r="AW3" i="2" a="1"/>
  <c r="BB5" i="2" a="1"/>
  <c r="BC9" i="2" a="1"/>
  <c r="AM7" i="2" a="1"/>
  <c r="K6" i="2" a="1"/>
  <c r="BG8" i="2" a="1"/>
  <c r="AT9" i="2" a="1"/>
  <c r="K10" i="2" a="1"/>
  <c r="AH12" i="2" a="1"/>
  <c r="N11" i="2" a="1"/>
  <c r="S3" i="2" a="1"/>
  <c r="BM5" i="2" a="1"/>
  <c r="AB12" i="2" a="1"/>
  <c r="AB4" i="2" a="1"/>
  <c r="BG4" i="2" a="1"/>
  <c r="Z5" i="2" a="1"/>
  <c r="AI7" i="2" a="1"/>
  <c r="AJ8" i="2" a="1"/>
  <c r="O9" i="2" a="1"/>
  <c r="BD7" i="2" a="1"/>
  <c r="AU10" i="2" a="1"/>
  <c r="BM10" i="2" a="1"/>
  <c r="AN7" i="2" a="1"/>
  <c r="AU13" i="2" a="1"/>
  <c r="U11" i="2" a="1"/>
  <c r="N7" i="2" a="1"/>
  <c r="AU4" i="2" a="1"/>
  <c r="AO4" i="2" a="1"/>
  <c r="AD12" i="2" a="1"/>
  <c r="BD9" i="2" a="1"/>
  <c r="I8" i="2" a="1"/>
  <c r="BI7" i="2" a="1"/>
  <c r="L10" i="2" a="1"/>
  <c r="E12" i="2" a="1"/>
  <c r="AA11" i="2" a="1"/>
  <c r="U9" i="2" a="1"/>
  <c r="AN11" i="2" a="1"/>
  <c r="J4" i="2" a="1"/>
  <c r="BH10" i="2" a="1"/>
  <c r="BJ5" i="2" a="1"/>
  <c r="C8" i="2" a="1"/>
  <c r="AF7" i="2" a="1"/>
  <c r="AT10" i="2" a="1"/>
  <c r="AC12" i="2" a="1"/>
  <c r="AI4" i="2" a="1"/>
  <c r="L12" i="2" a="1"/>
  <c r="F6" i="2" a="1"/>
  <c r="P4" i="2" a="1"/>
  <c r="G6" i="2" a="1"/>
  <c r="H10" i="2" a="1"/>
  <c r="AA3" i="2" a="1"/>
  <c r="F3" i="2" a="1"/>
  <c r="BG7" i="2" a="1"/>
  <c r="AT3" i="2" a="1"/>
  <c r="BI8" i="2" a="1"/>
  <c r="C11" i="2" a="1"/>
  <c r="AM12" i="2" a="1"/>
  <c r="Q10" i="2" a="1"/>
  <c r="H8" i="2" a="1"/>
  <c r="H9" i="2" a="1"/>
  <c r="AR12" i="2" a="1"/>
  <c r="K8" i="2" a="1"/>
  <c r="L11" i="2" a="1"/>
  <c r="C9" i="2" a="1"/>
  <c r="T9" i="2" a="1"/>
  <c r="AS13" i="2" a="1"/>
  <c r="AZ12" i="2" a="1"/>
  <c r="AL7" i="2" a="1"/>
  <c r="AE7" i="2" a="1"/>
  <c r="D4" i="2" a="1"/>
  <c r="AX3" i="2" a="1"/>
  <c r="Y7" i="2" a="1"/>
  <c r="F12" i="2" a="1"/>
  <c r="AE13" i="2" a="1"/>
  <c r="BG10" i="2" a="1"/>
  <c r="E3" i="2" a="1"/>
  <c r="BB10" i="2" a="1"/>
  <c r="AM9" i="2" a="1"/>
  <c r="AD5" i="2" a="1"/>
  <c r="X13" i="2" a="1"/>
  <c r="BJ12" i="2" a="1"/>
  <c r="BB11" i="2" a="1"/>
  <c r="AI12" i="2" a="1"/>
  <c r="E4" i="2" a="1"/>
  <c r="AK10" i="2" a="1"/>
  <c r="P12" i="2" a="1"/>
  <c r="N12" i="2" a="1"/>
  <c r="AN13" i="2" a="1"/>
  <c r="D11" i="2" a="1"/>
  <c r="AW11" i="2" a="1"/>
  <c r="G4" i="2" a="1"/>
  <c r="M13" i="2" a="1"/>
  <c r="Q12" i="2" a="1"/>
  <c r="C3" i="2" a="1"/>
  <c r="AV4" i="2" a="1"/>
  <c r="AT12" i="2" a="1"/>
  <c r="W8" i="2" a="1"/>
  <c r="AN3" i="2" a="1"/>
  <c r="AA10" i="2" a="1"/>
  <c r="G13" i="2" a="1"/>
  <c r="W12" i="2" a="1"/>
  <c r="AQ3" i="2" a="1"/>
  <c r="P11" i="2" a="1"/>
  <c r="AJ10" i="2" a="1"/>
  <c r="AP11" i="2" a="1"/>
  <c r="AM6" i="2" a="1"/>
  <c r="BE5" i="2" a="1"/>
  <c r="H7" i="2" a="1"/>
  <c r="U3" i="2" a="1"/>
  <c r="AL4" i="2" a="1"/>
  <c r="AO8" i="2" a="1"/>
  <c r="AC10" i="2" a="1"/>
  <c r="V9" i="2" a="1"/>
  <c r="AH5" i="2" a="1"/>
  <c r="AN8" i="2" a="1"/>
  <c r="D7" i="2" a="1"/>
  <c r="AB5" i="2" a="1"/>
  <c r="AG13" i="2" a="1"/>
  <c r="AU9" i="2" a="1"/>
  <c r="AQ7" i="2" a="1"/>
  <c r="T11" i="2" a="1"/>
  <c r="AK5" i="2" a="1"/>
  <c r="AH13" i="2" a="1"/>
  <c r="BD6" i="2" a="1"/>
  <c r="BJ3" i="2" a="1"/>
  <c r="AE9" i="2" a="1"/>
  <c r="J9" i="2" a="1"/>
  <c r="BD8" i="2" a="1"/>
  <c r="E7" i="2" a="1"/>
  <c r="AO13" i="2" a="1"/>
  <c r="J11" i="2" a="1"/>
  <c r="BH12" i="2" a="1"/>
  <c r="AG5" i="2" a="1"/>
  <c r="BF13" i="2" a="1"/>
  <c r="AV3" i="2" a="1"/>
  <c r="BE11" i="2" a="1"/>
  <c r="Y10" i="2" a="1"/>
  <c r="H3" i="2" a="1"/>
  <c r="AF3" i="2" a="1"/>
  <c r="X3" i="2" a="1"/>
  <c r="E5" i="2" a="1"/>
  <c r="BA9" i="2" a="1"/>
  <c r="AI8" i="2" a="1"/>
  <c r="AX6" i="2" a="1"/>
  <c r="AM5" i="2" a="1"/>
  <c r="AU11" i="2" a="1"/>
  <c r="N9" i="2" a="1"/>
  <c r="M5" i="2" a="1"/>
  <c r="J13" i="2" a="1"/>
  <c r="AR3" i="2" a="1"/>
  <c r="AF6" i="2" a="1"/>
  <c r="AG10" i="2" a="1"/>
  <c r="K9" i="2" a="1"/>
  <c r="AR4" i="2" a="1"/>
  <c r="L3" i="2" a="1"/>
  <c r="BK11" i="2" a="1"/>
  <c r="AR7" i="2" a="1"/>
  <c r="BH5" i="2" a="1"/>
  <c r="AV7" i="2" a="1"/>
  <c r="M6" i="2" a="1"/>
  <c r="I9" i="2" a="1"/>
  <c r="AF10" i="2" a="1"/>
  <c r="U6" i="2" a="1"/>
  <c r="N3" i="2" a="1"/>
  <c r="BE4" i="2" a="1"/>
  <c r="BD13" i="2" a="1"/>
  <c r="I13" i="2" a="1"/>
  <c r="AP8" i="2" a="1"/>
  <c r="D5" i="2" a="1"/>
  <c r="BF10" i="2" a="1"/>
  <c r="X8" i="2" a="1"/>
  <c r="BJ4" i="2" a="1"/>
  <c r="S11" i="2" a="1"/>
  <c r="AN4" i="2" a="1"/>
  <c r="M9" i="2" a="1"/>
  <c r="AK6" i="2" a="1"/>
  <c r="BG5" i="2" a="1"/>
  <c r="BL8" i="2" a="1"/>
  <c r="F8" i="2" a="1"/>
  <c r="AR8" i="2" a="1"/>
  <c r="H12" i="2" a="1"/>
  <c r="AD3" i="2" a="1"/>
  <c r="AG4" i="2" a="1"/>
  <c r="S6" i="2" a="1"/>
  <c r="W10" i="2" a="1"/>
  <c r="BF8" i="2" a="1"/>
  <c r="I10" i="2" a="1"/>
  <c r="G5" i="2" a="1"/>
  <c r="W6" i="2" a="1"/>
  <c r="C7" i="2" a="1"/>
  <c r="L5" i="2" a="1"/>
  <c r="D3" i="2" a="1"/>
  <c r="BA11" i="2" a="1"/>
  <c r="F4" i="2" a="1"/>
  <c r="BA4" i="2" a="1"/>
  <c r="AZ7" i="2" a="1"/>
  <c r="T10" i="2" a="1"/>
  <c r="AX9" i="2" a="1"/>
  <c r="Z12" i="2" a="1"/>
  <c r="BK12" i="2" a="1"/>
  <c r="Y4" i="2" a="1"/>
  <c r="AP9" i="2" a="1"/>
  <c r="AD13" i="2" a="1"/>
  <c r="BM6" i="2" a="1"/>
  <c r="BG9" i="2" a="1"/>
  <c r="AG12" i="2" a="1"/>
  <c r="M8" i="2" a="1"/>
  <c r="L9" i="2" a="1"/>
  <c r="BI11" i="2" a="1"/>
  <c r="J3" i="2" a="1"/>
  <c r="AQ8" i="2" a="1"/>
  <c r="L13" i="2" a="1"/>
  <c r="BH3" i="2" a="1"/>
  <c r="AT5" i="2" a="1"/>
  <c r="Y12" i="2" a="1"/>
  <c r="S8" i="2" a="1"/>
  <c r="AJ11" i="2" a="1"/>
  <c r="BE6" i="2" a="1"/>
  <c r="J6" i="2" a="1"/>
  <c r="BC7" i="2" a="1"/>
  <c r="AL13" i="2" a="1"/>
  <c r="I5" i="2" a="1"/>
  <c r="U13" i="2" a="1"/>
  <c r="L7" i="2" a="1"/>
  <c r="K11" i="2" a="1"/>
  <c r="AY4" i="2" a="1"/>
  <c r="V7" i="2" a="1"/>
  <c r="AM4" i="2" a="1"/>
  <c r="L8" i="2" a="1"/>
  <c r="AQ10" i="2" a="1"/>
  <c r="BB13" i="2" a="1"/>
  <c r="E10" i="2" a="1"/>
  <c r="K13" i="2" a="1"/>
  <c r="O4" i="2" a="1"/>
  <c r="BB12" i="2" a="1"/>
  <c r="AZ11" i="2" a="1"/>
  <c r="BC10" i="2" a="1"/>
  <c r="J10" i="2" a="1"/>
  <c r="AJ3" i="2" a="1"/>
  <c r="K5" i="2" a="1"/>
  <c r="AV9" i="2" a="1"/>
  <c r="P13" i="2" a="1"/>
  <c r="AB6" i="2" a="1"/>
  <c r="AC13" i="2" a="1"/>
  <c r="BI5" i="2" a="1"/>
  <c r="BL4" i="2" a="1"/>
  <c r="AE5" i="2" a="1"/>
  <c r="BK13" i="2" a="1"/>
  <c r="AJ4" i="2" a="1"/>
  <c r="G8" i="2" a="1"/>
  <c r="BF9" i="2" a="1"/>
  <c r="BL3" i="2" a="1"/>
  <c r="BH11" i="2" a="1"/>
  <c r="AZ9" i="2" a="1"/>
  <c r="AL12" i="2" a="1"/>
  <c r="AE12" i="2" a="1"/>
  <c r="V11" i="2" a="1"/>
  <c r="AI9" i="2" a="1"/>
  <c r="I4" i="2" a="1"/>
  <c r="G12" i="2" a="1"/>
  <c r="BK6" i="2" a="1"/>
  <c r="V10" i="2" a="1"/>
  <c r="G7" i="2" a="1"/>
  <c r="U7" i="2" a="1"/>
  <c r="BC11" i="2" a="1"/>
  <c r="BF4" i="2" a="1"/>
  <c r="AQ6" i="2" a="1"/>
  <c r="Z7" i="2" a="1"/>
  <c r="BM9" i="2" a="1"/>
  <c r="AI13" i="2" a="1"/>
  <c r="AP10" i="2" a="1"/>
  <c r="C10" i="2" a="1"/>
  <c r="AA4" i="2" a="1"/>
  <c r="BA10" i="2" a="1"/>
  <c r="R12" i="2" a="1"/>
  <c r="BE12" i="2" a="1"/>
  <c r="AO5" i="2" a="1"/>
  <c r="AO11" i="2" a="1"/>
  <c r="AJ6" i="2" a="1"/>
  <c r="AF11" i="2" a="1"/>
  <c r="Z9" i="2" a="1"/>
  <c r="AD11" i="2" a="1"/>
  <c r="Q13" i="2" a="1"/>
  <c r="BC5" i="2" a="1"/>
  <c r="AA6" i="2" a="1"/>
  <c r="BA8" i="2" a="1"/>
  <c r="AL11" i="2" a="1"/>
  <c r="S10" i="2" a="1"/>
  <c r="BD5" i="2" a="1"/>
  <c r="Y8" i="2" a="1"/>
  <c r="AG8" i="2" a="1"/>
  <c r="AV10" i="2" a="1"/>
  <c r="BG3" i="2" a="1"/>
  <c r="I12" i="2" a="1"/>
  <c r="AS10" i="2" a="1"/>
  <c r="AQ12" i="2" a="1"/>
  <c r="AQ9" i="2" a="1"/>
  <c r="R4" i="2" a="1"/>
  <c r="BC3" i="2" a="1"/>
  <c r="S7" i="2" a="1"/>
  <c r="Q4" i="2" a="1"/>
  <c r="AI3" i="2" a="1"/>
  <c r="K4" i="2" a="1"/>
  <c r="X5" i="2" a="1"/>
  <c r="AV11" i="2" a="1"/>
  <c r="BA5" i="2" a="1"/>
  <c r="BH4" i="2" a="1"/>
  <c r="E8" i="2" a="1"/>
  <c r="I3" i="2" a="1"/>
  <c r="AB3" i="2" a="1"/>
  <c r="F10" i="2" a="1"/>
  <c r="AC7" i="2" a="1"/>
  <c r="AE6" i="2" a="1"/>
  <c r="P9" i="2" a="1"/>
  <c r="AS3" i="2" a="1"/>
  <c r="BC12" i="2" a="1"/>
  <c r="H6" i="2" a="1"/>
  <c r="AY5" i="2" a="1"/>
  <c r="AF8" i="2" a="1"/>
  <c r="AL10" i="2" a="1"/>
  <c r="BF7" i="2" a="1"/>
  <c r="BL13" i="2" a="1"/>
  <c r="W3" i="2" a="1"/>
  <c r="AX12" i="2" a="1"/>
  <c r="AC5" i="2" a="1"/>
  <c r="AK3" i="2" a="1"/>
  <c r="AK4" i="2" a="1"/>
  <c r="AV12" i="2" a="1"/>
  <c r="D12" i="2" a="1"/>
  <c r="U12" i="2" a="1"/>
  <c r="BF5" i="2" a="1"/>
  <c r="AM10" i="2" a="1"/>
  <c r="Z8" i="2" a="1"/>
  <c r="R5" i="2" a="1"/>
  <c r="BK5" i="2" a="1"/>
  <c r="T12" i="2" a="1"/>
  <c r="AZ5" i="2" a="1"/>
  <c r="AG3" i="2" a="1"/>
  <c r="AZ6" i="2" a="1"/>
  <c r="D6" i="2" a="1"/>
  <c r="BJ10" i="2" a="1"/>
  <c r="O5" i="2" a="1"/>
  <c r="J5" i="2" a="1"/>
  <c r="AX5" i="2" a="1"/>
  <c r="V12" i="2" a="1"/>
  <c r="AD7" i="2" a="1"/>
  <c r="AU6" i="2" a="1"/>
  <c r="BE9" i="2" a="1"/>
  <c r="T3" i="2" a="1"/>
  <c r="AB8" i="2" a="1"/>
  <c r="AK12" i="2" a="1"/>
  <c r="Z3" i="2" a="1"/>
  <c r="AT11" i="2" a="1"/>
  <c r="M12" i="2" a="1"/>
  <c r="AY9" i="2" a="1"/>
  <c r="BJ9" i="2" a="1"/>
  <c r="AN9" i="2" a="1"/>
  <c r="AH8" i="2" a="1"/>
  <c r="AI10" i="2" a="1"/>
  <c r="AY7" i="2" a="1"/>
  <c r="X12" i="2" a="1"/>
  <c r="F13" i="2" a="1"/>
  <c r="BL10" i="2" a="1"/>
  <c r="X7" i="2" a="1"/>
  <c r="T8" i="2" a="1"/>
  <c r="Q3" i="2" a="1"/>
  <c r="AA9" i="2" a="1"/>
  <c r="AY11" i="2" a="1"/>
  <c r="BM12" i="2" a="1"/>
  <c r="AO12" i="2" a="1"/>
  <c r="AJ13" i="2" a="1"/>
  <c r="BH6" i="2" a="1"/>
  <c r="AR11" i="2" a="1"/>
  <c r="BB6" i="2" a="1"/>
  <c r="P5" i="2" a="1"/>
  <c r="BL6" i="2" a="1"/>
  <c r="AT13" i="2" a="1"/>
  <c r="D8" i="2" a="1"/>
  <c r="AL8" i="2" a="1"/>
  <c r="X10" i="2" a="1"/>
  <c r="U10" i="2" a="1"/>
  <c r="BB8" i="2" a="1"/>
  <c r="BA6" i="2" a="1"/>
  <c r="BD11" i="2" a="1"/>
  <c r="AU8" i="2" a="1"/>
  <c r="AZ8" i="2" a="1"/>
  <c r="T4" i="2" a="1"/>
  <c r="AJ12" i="2" a="1"/>
  <c r="AT6" i="2" a="1"/>
  <c r="O11" i="2" a="1"/>
  <c r="Y6" i="2" a="1"/>
  <c r="AA5" i="2" a="1"/>
  <c r="Z13" i="2" a="1"/>
  <c r="N13" i="2" a="1"/>
  <c r="BC4" i="2" a="1"/>
  <c r="W11" i="2" a="1"/>
  <c r="BG12" i="2" a="1"/>
  <c r="X9" i="2" a="1"/>
  <c r="AS9" i="2" a="1"/>
  <c r="S5" i="2" a="1"/>
  <c r="AD8" i="2" a="1"/>
  <c r="H5" i="2" a="1"/>
  <c r="Q8" i="2" a="1"/>
  <c r="F11" i="2" a="1"/>
  <c r="N4" i="2" a="1"/>
  <c r="AZ10" i="2" a="1"/>
  <c r="O3" i="2" a="1"/>
  <c r="AB13" i="2" a="1"/>
  <c r="AA13" i="2" a="1"/>
  <c r="P8" i="2" a="1"/>
  <c r="AN5" i="2" a="1"/>
  <c r="BI3" i="2" a="1"/>
  <c r="BB9" i="2" a="1"/>
  <c r="AJ7" i="2" a="1"/>
  <c r="AR9" i="2" a="1"/>
  <c r="AF13" i="2" a="1"/>
  <c r="G9" i="2" a="1"/>
  <c r="M3" i="2" a="1"/>
  <c r="BG6" i="2" a="1"/>
  <c r="AN10" i="2" a="1"/>
  <c r="AM3" i="2" a="1"/>
  <c r="AY13" i="2" a="1"/>
  <c r="AP4" i="2" a="1"/>
  <c r="BL9" i="2" a="1"/>
  <c r="BD4" i="2" a="1"/>
  <c r="J12" i="2" a="1"/>
  <c r="M7" i="2" a="1"/>
  <c r="P3" i="2" a="1"/>
  <c r="BE13" i="2" a="1"/>
  <c r="D9" i="2" a="1"/>
  <c r="AS8" i="2" a="1"/>
  <c r="P7" i="2" a="1"/>
  <c r="AX13" i="2" a="1"/>
  <c r="AS7" i="2" a="1"/>
  <c r="AF5" i="2" a="1"/>
  <c r="AT4" i="2" a="1"/>
  <c r="AI5" i="2" a="1"/>
  <c r="BD10" i="2" a="1"/>
  <c r="AC6" i="2" a="1"/>
  <c r="H13" i="2" a="1"/>
  <c r="BH8" i="2" a="1"/>
  <c r="C12" i="2" a="1"/>
  <c r="AR6" i="2" a="1"/>
  <c r="AJ9" i="2" a="1"/>
  <c r="G10" i="2" a="1"/>
  <c r="AM13" i="2" a="1"/>
  <c r="H4" i="2" a="1"/>
  <c r="AO7" i="2" a="1"/>
  <c r="AZ13" i="2" a="1"/>
  <c r="BE10" i="2" a="1"/>
  <c r="AX8" i="2" a="1"/>
  <c r="K12" i="2" a="1"/>
  <c r="AE10" i="2" a="1"/>
  <c r="AD6" i="2" a="1"/>
  <c r="AR10" i="2" a="1"/>
  <c r="N10" i="2" a="1"/>
  <c r="AN6" i="2" a="1"/>
  <c r="AV8" i="2" a="1"/>
  <c r="BC13" i="2" a="1"/>
  <c r="AW13" i="2" a="1"/>
  <c r="E9" i="2" a="1"/>
  <c r="W5" i="2" a="1"/>
  <c r="AR5" i="2" a="1"/>
  <c r="BK9" i="2" a="1"/>
  <c r="BI6" i="2" a="1"/>
  <c r="K7" i="2" a="1"/>
  <c r="Q7" i="2" a="1"/>
  <c r="AK9" i="2" a="1"/>
  <c r="AK13" i="2" a="1"/>
  <c r="BM3" i="2" a="1"/>
  <c r="X11" i="2" a="1"/>
  <c r="AH9" i="2" a="1"/>
  <c r="AY6" i="2" a="1"/>
  <c r="K3" i="2" a="1"/>
  <c r="AE11" i="2" a="1"/>
  <c r="BF3" i="2" a="1"/>
  <c r="AW12" i="2" a="1"/>
  <c r="Z4" i="2" a="1"/>
  <c r="BB3" i="2" a="1"/>
  <c r="AS12" i="2" a="1"/>
  <c r="D13" i="2" a="1"/>
  <c r="BF11" i="2" a="1"/>
  <c r="I11" i="2" a="1"/>
  <c r="AO3" i="2" a="1"/>
  <c r="I6" i="2" a="1"/>
  <c r="AW5" i="2" a="1"/>
  <c r="R7" i="2" a="1"/>
  <c r="AV6" i="2" a="1"/>
  <c r="AQ13" i="2" a="1"/>
  <c r="BI12" i="2" a="1"/>
  <c r="AD4" i="2" a="1"/>
  <c r="N6" i="2" a="1"/>
  <c r="R13" i="2" a="1"/>
  <c r="AD9" i="2" a="1"/>
  <c r="BL5" i="2" a="1"/>
  <c r="BE3" i="2" a="1"/>
  <c r="AI6" i="2" a="1"/>
  <c r="AG7" i="2" a="1"/>
  <c r="AB9" i="2" a="1"/>
  <c r="AK11" i="2" a="1"/>
  <c r="E13" i="2" a="1"/>
  <c r="BK8" i="2" a="1"/>
  <c r="BI9" i="2" a="1"/>
  <c r="M10" i="2" a="1"/>
  <c r="U4" i="2" a="1"/>
  <c r="BB7" i="2" a="1"/>
  <c r="AE8" i="2" a="1"/>
  <c r="AL3" i="2" a="1"/>
  <c r="S13" i="2" a="1"/>
  <c r="AH3" i="2" a="1"/>
  <c r="N8" i="2" a="1"/>
  <c r="AU12" i="2" a="1"/>
  <c r="AZ4" i="2" a="1"/>
  <c r="T6" i="2" a="1"/>
  <c r="W9" i="2" a="1"/>
  <c r="AH6" i="2" a="1"/>
  <c r="AY12" i="2" a="1"/>
  <c r="Z11" i="2" a="1"/>
  <c r="BA13" i="2" a="1"/>
  <c r="AH7" i="2" a="1"/>
  <c r="W7" i="2" a="1"/>
  <c r="L4" i="2" a="1"/>
  <c r="R8" i="2" a="1"/>
  <c r="AS6" i="2" a="1"/>
  <c r="AQ5" i="2" a="1"/>
  <c r="BF6" i="2" a="1"/>
  <c r="AA7" i="2" a="1"/>
  <c r="Y3" i="2" a="1"/>
  <c r="X4" i="2" a="1"/>
  <c r="T7" i="2" a="1"/>
  <c r="BM13" i="2" a="1"/>
  <c r="BA12" i="2" a="1"/>
  <c r="AA8" i="2" a="1"/>
  <c r="BJ7" i="2" a="1"/>
  <c r="J8" i="2" a="1"/>
  <c r="AE3" i="2" a="1"/>
  <c r="U5" i="2" a="1"/>
  <c r="T5" i="2" a="1"/>
  <c r="BI10" i="2" a="1"/>
  <c r="AC11" i="2" a="1"/>
  <c r="Z6" i="2" a="1"/>
  <c r="AY10" i="2" a="1"/>
  <c r="BM8" i="2" a="1"/>
  <c r="AK8" i="2" a="1"/>
  <c r="AS5" i="2" a="1"/>
  <c r="Q11" i="2" a="1"/>
  <c r="R10" i="2" a="1"/>
  <c r="G3" i="2" a="1"/>
  <c r="BJ6" i="2" a="1"/>
  <c r="AB10" i="2" a="1"/>
  <c r="AH11" i="2" a="1"/>
  <c r="U8" i="2" a="1"/>
  <c r="BG13" i="2" a="1"/>
  <c r="AF4" i="2" a="1"/>
  <c r="AQ4" i="2" a="1"/>
  <c r="AO9" i="2" a="1"/>
  <c r="W4" i="2" a="1"/>
  <c r="BK7" i="2" a="1"/>
  <c r="L6" i="2" a="1"/>
  <c r="AX11" i="2" a="1"/>
  <c r="V6" i="2" a="1"/>
  <c r="AV13" i="2" a="1"/>
  <c r="AM11" i="2" a="1"/>
  <c r="BA7" i="2" a="1"/>
  <c r="BI4" i="2" a="1"/>
  <c r="BB4" i="2" a="1"/>
  <c r="AX10" i="2" a="1"/>
  <c r="AL6" i="2" a="1"/>
  <c r="AP13" i="2" a="1"/>
  <c r="C5" i="2" a="1"/>
  <c r="BI13" i="2" a="1"/>
  <c r="F7" i="2" a="1"/>
  <c r="AI11" i="2" a="1"/>
  <c r="AS4" i="2" a="1"/>
  <c r="AB7" i="2" a="1"/>
  <c r="AX4" i="2" a="1"/>
  <c r="AW9" i="2" a="1"/>
  <c r="AY3" i="2" a="1"/>
  <c r="BM11" i="2" a="1"/>
  <c r="AP3" i="2" a="1"/>
  <c r="Y9" i="2" a="1"/>
  <c r="AH10" i="2" a="1"/>
  <c r="F9" i="2" a="1"/>
  <c r="BL12" i="2" a="1"/>
  <c r="AC8" i="2" a="1"/>
  <c r="W13" i="2" a="1"/>
  <c r="AT7" i="2" a="1"/>
  <c r="C6" i="2" a="1"/>
  <c r="E6" i="2" a="1"/>
  <c r="F5" i="2" a="1"/>
  <c r="AO6" i="2" a="1"/>
  <c r="BC8" i="2" a="1"/>
  <c r="BH9" i="2" a="1"/>
  <c r="BH13" i="2" a="1"/>
  <c r="AG6" i="2" a="1"/>
  <c r="BF12" i="2" a="1"/>
  <c r="V5" i="2" a="1"/>
  <c r="Q5" i="2" a="1"/>
  <c r="V8" i="2" a="1"/>
  <c r="BJ11" i="2" a="1"/>
  <c r="BA3" i="2" a="1"/>
  <c r="E11" i="2" a="1"/>
  <c r="AH4" i="2" a="1"/>
  <c r="AP5" i="2" a="1"/>
  <c r="AY8" i="2" a="1"/>
  <c r="Z10" i="2" a="1"/>
  <c r="S4" i="2" a="1"/>
  <c r="AS11" i="2" a="1"/>
  <c r="C4" i="2" a="1"/>
  <c r="J7" i="2" a="1"/>
  <c r="BK4" i="2" a="1"/>
  <c r="AF9" i="2" a="1"/>
  <c r="AG9" i="2" a="1"/>
  <c r="X6" i="2" a="1"/>
  <c r="AW6" i="2" a="1"/>
  <c r="AC3" i="2" a="1"/>
  <c r="R9" i="2" a="1"/>
  <c r="AZ3" i="2" a="1"/>
  <c r="P10" i="2" a="1"/>
  <c r="AQ11" i="2" a="1"/>
  <c r="AU5" i="2" a="1"/>
  <c r="BE7" i="2" a="1"/>
  <c r="M11" i="2" a="1"/>
  <c r="C13" i="2" a="1"/>
  <c r="AN12" i="2" a="1"/>
  <c r="S9" i="2" a="1"/>
  <c r="BK3" i="2" a="1"/>
  <c r="AP12" i="2" a="1"/>
  <c r="AM8" i="2" a="1"/>
  <c r="BK10" i="2" a="1"/>
  <c r="BL11" i="2" a="1"/>
  <c r="G11" i="2" a="1"/>
  <c r="M4" i="2" a="1"/>
  <c r="BC6" i="2" a="1"/>
  <c r="AP7" i="2" a="1"/>
  <c r="AR13" i="2" a="1"/>
  <c r="V3" i="2" a="1"/>
  <c r="N5" i="2" a="1"/>
  <c r="BG11" i="2" a="1"/>
  <c r="AW8" i="2" a="1"/>
  <c r="AF12" i="2" a="1"/>
  <c r="AE4" i="2" a="1"/>
  <c r="V13" i="2" a="1"/>
  <c r="AC4" i="2" a="1"/>
  <c r="D10" i="2" a="1"/>
  <c r="O8" i="2" a="1"/>
  <c r="BM4" i="2" a="1"/>
  <c r="R3" i="2" a="1"/>
  <c r="S12" i="2" a="1"/>
  <c r="BD3" i="2" a="1"/>
  <c r="BM7" i="2" a="1"/>
  <c r="AU7" i="2" a="1"/>
  <c r="BJ13" i="2" a="1"/>
  <c r="H11" i="2" a="1"/>
  <c r="V4" i="2" a="1"/>
  <c r="AL9" i="2" a="1"/>
  <c r="AG11" i="2" a="1"/>
  <c r="O13" i="2" a="1"/>
  <c r="AW7" i="2" a="1"/>
  <c r="AD10" i="2" a="1"/>
  <c r="AT8" i="2" a="1"/>
  <c r="AT8" i="2" l="1"/>
  <c r="AD10" i="2"/>
  <c r="AW7" i="2"/>
  <c r="O13" i="2"/>
  <c r="AG11" i="2"/>
  <c r="AL9" i="2"/>
  <c r="V4" i="2"/>
  <c r="H11" i="2"/>
  <c r="BJ13" i="2"/>
  <c r="AU7" i="2"/>
  <c r="BM7" i="2"/>
  <c r="BD3" i="2"/>
  <c r="S12" i="2"/>
  <c r="R3" i="2"/>
  <c r="BM4" i="2"/>
  <c r="O8" i="2"/>
  <c r="D10" i="2"/>
  <c r="AC4" i="2"/>
  <c r="V13" i="2"/>
  <c r="AE4" i="2"/>
  <c r="AF12" i="2"/>
  <c r="AW8" i="2"/>
  <c r="BG11" i="2"/>
  <c r="N5" i="2"/>
  <c r="V3" i="2"/>
  <c r="AR13" i="2"/>
  <c r="AP7" i="2"/>
  <c r="BC6" i="2"/>
  <c r="M4" i="2"/>
  <c r="G11" i="2"/>
  <c r="BL11" i="2"/>
  <c r="BK10" i="2"/>
  <c r="AM8" i="2"/>
  <c r="AP12" i="2"/>
  <c r="BK3" i="2"/>
  <c r="S9" i="2"/>
  <c r="AN12" i="2"/>
  <c r="C13" i="2"/>
  <c r="C13" i="1" s="1"/>
  <c r="M11" i="2"/>
  <c r="BE7" i="2"/>
  <c r="AU5" i="2"/>
  <c r="AQ11" i="2"/>
  <c r="P10" i="2"/>
  <c r="AZ3" i="2"/>
  <c r="R9" i="2"/>
  <c r="AC3" i="2"/>
  <c r="AW6" i="2"/>
  <c r="X6" i="2"/>
  <c r="AG9" i="2"/>
  <c r="AF9" i="2"/>
  <c r="BK4" i="2"/>
  <c r="J7" i="2"/>
  <c r="C4" i="2"/>
  <c r="AS11" i="2"/>
  <c r="S4" i="2"/>
  <c r="Z10" i="2"/>
  <c r="AY8" i="2"/>
  <c r="AP5" i="2"/>
  <c r="AH4" i="2"/>
  <c r="E11" i="2"/>
  <c r="BA3" i="2"/>
  <c r="BJ11" i="2"/>
  <c r="V8" i="2"/>
  <c r="Q5" i="2"/>
  <c r="V5" i="2"/>
  <c r="BF12" i="2"/>
  <c r="AG6" i="2"/>
  <c r="BH13" i="2"/>
  <c r="V13" i="1" s="1"/>
  <c r="BH9" i="2"/>
  <c r="BC8" i="2"/>
  <c r="AO6" i="2"/>
  <c r="F5" i="2"/>
  <c r="E6" i="2"/>
  <c r="C6" i="2"/>
  <c r="AT7" i="2"/>
  <c r="W13" i="2"/>
  <c r="AC8" i="2"/>
  <c r="BL12" i="2"/>
  <c r="F9" i="2"/>
  <c r="AH10" i="2"/>
  <c r="Y9" i="2"/>
  <c r="AP3" i="2"/>
  <c r="BM11" i="2"/>
  <c r="AY3" i="2"/>
  <c r="AW9" i="2"/>
  <c r="AX4" i="2"/>
  <c r="AB7" i="2"/>
  <c r="AS4" i="2"/>
  <c r="AI11" i="2"/>
  <c r="F7" i="2"/>
  <c r="BI13" i="2"/>
  <c r="C5" i="2"/>
  <c r="AP13" i="2"/>
  <c r="AL6" i="2"/>
  <c r="AX10" i="2"/>
  <c r="BB4" i="2"/>
  <c r="BI4" i="2"/>
  <c r="BA7" i="2"/>
  <c r="AM11" i="2"/>
  <c r="AV13" i="2"/>
  <c r="V6" i="2"/>
  <c r="AX11" i="2"/>
  <c r="L6" i="2"/>
  <c r="BK7" i="2"/>
  <c r="W4" i="2"/>
  <c r="AO9" i="2"/>
  <c r="AQ4" i="2"/>
  <c r="AF4" i="2"/>
  <c r="BG13" i="2"/>
  <c r="U8" i="2"/>
  <c r="AH11" i="2"/>
  <c r="AB10" i="2"/>
  <c r="BJ6" i="2"/>
  <c r="G3" i="2"/>
  <c r="R10" i="2"/>
  <c r="Q11" i="2"/>
  <c r="AS5" i="2"/>
  <c r="AK8" i="2"/>
  <c r="BM8" i="2"/>
  <c r="AY10" i="2"/>
  <c r="Z6" i="2"/>
  <c r="AC11" i="2"/>
  <c r="BI10" i="2"/>
  <c r="T5" i="2"/>
  <c r="U5" i="2"/>
  <c r="AE3" i="2"/>
  <c r="J8" i="2"/>
  <c r="BJ7" i="2"/>
  <c r="AA8" i="2"/>
  <c r="BA12" i="2"/>
  <c r="BM13" i="2"/>
  <c r="T7" i="2"/>
  <c r="X4" i="2"/>
  <c r="Y3" i="2"/>
  <c r="AA7" i="2"/>
  <c r="BF6" i="2"/>
  <c r="AQ5" i="2"/>
  <c r="AS6" i="2"/>
  <c r="R8" i="2"/>
  <c r="L4" i="2"/>
  <c r="W7" i="2"/>
  <c r="AH7" i="2"/>
  <c r="BA13" i="2"/>
  <c r="Z11" i="2"/>
  <c r="AY12" i="2"/>
  <c r="AH6" i="2"/>
  <c r="W9" i="2"/>
  <c r="T6" i="2"/>
  <c r="AZ4" i="2"/>
  <c r="AU12" i="2"/>
  <c r="N8" i="2"/>
  <c r="AH3" i="2"/>
  <c r="S13" i="2"/>
  <c r="AL3" i="2"/>
  <c r="AE8" i="2"/>
  <c r="BB7" i="2"/>
  <c r="U4" i="2"/>
  <c r="M10" i="2"/>
  <c r="BI9" i="2"/>
  <c r="BK8" i="2"/>
  <c r="E13" i="2"/>
  <c r="AK11" i="2"/>
  <c r="AB9" i="2"/>
  <c r="AG7" i="2"/>
  <c r="AI6" i="2"/>
  <c r="BE3" i="2"/>
  <c r="U3" i="1" s="1"/>
  <c r="BL5" i="2"/>
  <c r="AD9" i="2"/>
  <c r="R13" i="2"/>
  <c r="N6" i="2"/>
  <c r="AD4" i="2"/>
  <c r="BI12" i="2"/>
  <c r="AQ13" i="2"/>
  <c r="AV6" i="2"/>
  <c r="R7" i="2"/>
  <c r="AW5" i="2"/>
  <c r="I6" i="2"/>
  <c r="AO3" i="2"/>
  <c r="I11" i="2"/>
  <c r="BF11" i="2"/>
  <c r="D13" i="2"/>
  <c r="AS12" i="2"/>
  <c r="BB3" i="2"/>
  <c r="T3" i="1" s="1"/>
  <c r="Z4" i="2"/>
  <c r="AW12" i="2"/>
  <c r="BF3" i="2"/>
  <c r="AE11" i="2"/>
  <c r="K3" i="2"/>
  <c r="AY6" i="2"/>
  <c r="AH9" i="2"/>
  <c r="X11" i="2"/>
  <c r="BM3" i="2"/>
  <c r="AK13" i="2"/>
  <c r="AK9" i="2"/>
  <c r="Q7" i="2"/>
  <c r="K7" i="2"/>
  <c r="BI6" i="2"/>
  <c r="BK9" i="2"/>
  <c r="AR5" i="2"/>
  <c r="W5" i="2"/>
  <c r="E9" i="2"/>
  <c r="AW13" i="2"/>
  <c r="BC13" i="2"/>
  <c r="AV8" i="2"/>
  <c r="AN6" i="2"/>
  <c r="N10" i="2"/>
  <c r="AR10" i="2"/>
  <c r="AD6" i="2"/>
  <c r="AE10" i="2"/>
  <c r="K12" i="2"/>
  <c r="AX8" i="2"/>
  <c r="BE10" i="2"/>
  <c r="AZ13" i="2"/>
  <c r="AO7" i="2"/>
  <c r="H4" i="2"/>
  <c r="AM13" i="2"/>
  <c r="G10" i="2"/>
  <c r="AJ9" i="2"/>
  <c r="AR6" i="2"/>
  <c r="C12" i="2"/>
  <c r="BH8" i="2"/>
  <c r="H13" i="2"/>
  <c r="AC6" i="2"/>
  <c r="BD10" i="2"/>
  <c r="AI5" i="2"/>
  <c r="AT4" i="2"/>
  <c r="AF5" i="2"/>
  <c r="AS7" i="2"/>
  <c r="Q7" i="1" s="1"/>
  <c r="AX13" i="2"/>
  <c r="P7" i="2"/>
  <c r="AS8" i="2"/>
  <c r="D9" i="2"/>
  <c r="BE13" i="2"/>
  <c r="P3" i="2"/>
  <c r="M7" i="2"/>
  <c r="J12" i="2"/>
  <c r="BD4" i="2"/>
  <c r="BL9" i="2"/>
  <c r="AP4" i="2"/>
  <c r="AY13" i="2"/>
  <c r="AM3" i="2"/>
  <c r="AN10" i="2"/>
  <c r="BG6" i="2"/>
  <c r="M3" i="2"/>
  <c r="G9" i="2"/>
  <c r="AF13" i="2"/>
  <c r="AR9" i="2"/>
  <c r="AJ7" i="2"/>
  <c r="BB9" i="2"/>
  <c r="BI3" i="2"/>
  <c r="AN5" i="2"/>
  <c r="P8" i="2"/>
  <c r="AA13" i="2"/>
  <c r="AB13" i="2"/>
  <c r="O3" i="2"/>
  <c r="G3" i="1" s="1"/>
  <c r="AZ10" i="2"/>
  <c r="N4" i="2"/>
  <c r="F11" i="2"/>
  <c r="Q8" i="2"/>
  <c r="H5" i="2"/>
  <c r="AD8" i="2"/>
  <c r="S5" i="2"/>
  <c r="AS9" i="2"/>
  <c r="X9" i="2"/>
  <c r="BG12" i="2"/>
  <c r="W11" i="2"/>
  <c r="BC4" i="2"/>
  <c r="N13" i="2"/>
  <c r="Z13" i="2"/>
  <c r="AA5" i="2"/>
  <c r="Y6" i="2"/>
  <c r="O11" i="2"/>
  <c r="AT6" i="2"/>
  <c r="AJ12" i="2"/>
  <c r="T4" i="2"/>
  <c r="AZ8" i="2"/>
  <c r="AU8" i="2"/>
  <c r="BD11" i="2"/>
  <c r="BA6" i="2"/>
  <c r="BB8" i="2"/>
  <c r="U10" i="2"/>
  <c r="X10" i="2"/>
  <c r="AL8" i="2"/>
  <c r="D8" i="2"/>
  <c r="AT13" i="2"/>
  <c r="BL6" i="2"/>
  <c r="P5" i="2"/>
  <c r="BB6" i="2"/>
  <c r="AR11" i="2"/>
  <c r="BH6" i="2"/>
  <c r="AJ13" i="2"/>
  <c r="AO12" i="2"/>
  <c r="BM12" i="2"/>
  <c r="AY11" i="2"/>
  <c r="S11" i="1" s="1"/>
  <c r="AA9" i="2"/>
  <c r="Q3" i="2"/>
  <c r="T8" i="2"/>
  <c r="X7" i="2"/>
  <c r="BL10" i="2"/>
  <c r="F13" i="2"/>
  <c r="X12" i="2"/>
  <c r="AY7" i="2"/>
  <c r="S7" i="1" s="1"/>
  <c r="AI10" i="2"/>
  <c r="AH8" i="2"/>
  <c r="AN9" i="2"/>
  <c r="BJ9" i="2"/>
  <c r="AY9" i="2"/>
  <c r="M12" i="2"/>
  <c r="AT11" i="2"/>
  <c r="Z3" i="2"/>
  <c r="AK12" i="2"/>
  <c r="AB8" i="2"/>
  <c r="T3" i="2"/>
  <c r="BE9" i="2"/>
  <c r="AU6" i="2"/>
  <c r="AD7" i="2"/>
  <c r="V12" i="2"/>
  <c r="AX5" i="2"/>
  <c r="J5" i="2"/>
  <c r="O5" i="2"/>
  <c r="BJ10" i="2"/>
  <c r="D6" i="2"/>
  <c r="AZ6" i="2"/>
  <c r="AG3" i="2"/>
  <c r="AZ5" i="2"/>
  <c r="T12" i="2"/>
  <c r="BK5" i="2"/>
  <c r="W5" i="1" s="1"/>
  <c r="R5" i="2"/>
  <c r="Z8" i="2"/>
  <c r="AM10" i="2"/>
  <c r="BF5" i="2"/>
  <c r="U12" i="2"/>
  <c r="D12" i="2"/>
  <c r="AV12" i="2"/>
  <c r="R12" i="1" s="1"/>
  <c r="AK4" i="2"/>
  <c r="AK3" i="2"/>
  <c r="AC5" i="2"/>
  <c r="AX12" i="2"/>
  <c r="W3" i="2"/>
  <c r="BL13" i="2"/>
  <c r="BF7" i="2"/>
  <c r="AL10" i="2"/>
  <c r="AF8" i="2"/>
  <c r="AY5" i="2"/>
  <c r="H6" i="2"/>
  <c r="BC12" i="2"/>
  <c r="AS3" i="2"/>
  <c r="P9" i="2"/>
  <c r="AE6" i="2"/>
  <c r="AC7" i="2"/>
  <c r="F10" i="2"/>
  <c r="AB3" i="2"/>
  <c r="I3" i="2"/>
  <c r="E8" i="2"/>
  <c r="BH4" i="2"/>
  <c r="BA5" i="2"/>
  <c r="AV11" i="2"/>
  <c r="X5" i="2"/>
  <c r="K4" i="2"/>
  <c r="AI3" i="2"/>
  <c r="Q4" i="2"/>
  <c r="S7" i="2"/>
  <c r="BC3" i="2"/>
  <c r="R4" i="2"/>
  <c r="AQ9" i="2"/>
  <c r="AQ12" i="2"/>
  <c r="AS10" i="2"/>
  <c r="I12" i="2"/>
  <c r="BG3" i="2"/>
  <c r="AV10" i="2"/>
  <c r="AG8" i="2"/>
  <c r="Y8" i="2"/>
  <c r="BD5" i="2"/>
  <c r="S10" i="2"/>
  <c r="AL11" i="2"/>
  <c r="BA8" i="2"/>
  <c r="AA6" i="2"/>
  <c r="BC5" i="2"/>
  <c r="Q13" i="2"/>
  <c r="AD11" i="2"/>
  <c r="Z9" i="2"/>
  <c r="AF11" i="2"/>
  <c r="AJ6" i="2"/>
  <c r="AO11" i="2"/>
  <c r="AO5" i="2"/>
  <c r="BE12" i="2"/>
  <c r="R12" i="2"/>
  <c r="BA10" i="2"/>
  <c r="AA4" i="2"/>
  <c r="C10" i="2"/>
  <c r="AP10" i="2"/>
  <c r="AI13" i="2"/>
  <c r="BM9" i="2"/>
  <c r="Z7" i="2"/>
  <c r="AQ6" i="2"/>
  <c r="BF4" i="2"/>
  <c r="BC11" i="2"/>
  <c r="U7" i="2"/>
  <c r="I7" i="1" s="1"/>
  <c r="G7" i="2"/>
  <c r="V10" i="2"/>
  <c r="BK6" i="2"/>
  <c r="G12" i="2"/>
  <c r="I4" i="2"/>
  <c r="AI9" i="2"/>
  <c r="V11" i="2"/>
  <c r="AE12" i="2"/>
  <c r="AL12" i="2"/>
  <c r="AZ9" i="2"/>
  <c r="BH11" i="2"/>
  <c r="BL3" i="2"/>
  <c r="BF9" i="2"/>
  <c r="G8" i="2"/>
  <c r="AJ4" i="2"/>
  <c r="BK13" i="2"/>
  <c r="W13" i="1" s="1"/>
  <c r="AE5" i="2"/>
  <c r="BL4" i="2"/>
  <c r="BI5" i="2"/>
  <c r="AC13" i="2"/>
  <c r="AB6" i="2"/>
  <c r="P13" i="2"/>
  <c r="AV9" i="2"/>
  <c r="K5" i="2"/>
  <c r="AJ3" i="2"/>
  <c r="N3" i="1" s="1"/>
  <c r="J10" i="2"/>
  <c r="BC10" i="2"/>
  <c r="AZ11" i="2"/>
  <c r="BB12" i="2"/>
  <c r="O4" i="2"/>
  <c r="K13" i="2"/>
  <c r="E10" i="2"/>
  <c r="BB13" i="2"/>
  <c r="AQ10" i="2"/>
  <c r="L8" i="2"/>
  <c r="AM4" i="2"/>
  <c r="V7" i="2"/>
  <c r="AY4" i="2"/>
  <c r="K11" i="2"/>
  <c r="L7" i="2"/>
  <c r="F7" i="1" s="1"/>
  <c r="U13" i="2"/>
  <c r="I13" i="1" s="1"/>
  <c r="I5" i="2"/>
  <c r="AL13" i="2"/>
  <c r="BC7" i="2"/>
  <c r="J6" i="2"/>
  <c r="BE6" i="2"/>
  <c r="U6" i="1" s="1"/>
  <c r="AJ11" i="2"/>
  <c r="S8" i="2"/>
  <c r="Y12" i="2"/>
  <c r="AT5" i="2"/>
  <c r="BH3" i="2"/>
  <c r="L13" i="2"/>
  <c r="AQ8" i="2"/>
  <c r="J3" i="2"/>
  <c r="BI11" i="2"/>
  <c r="L9" i="2"/>
  <c r="M8" i="2"/>
  <c r="AG12" i="2"/>
  <c r="BG9" i="2"/>
  <c r="BM6" i="2"/>
  <c r="AD13" i="2"/>
  <c r="AP9" i="2"/>
  <c r="Y4" i="2"/>
  <c r="BK12" i="2"/>
  <c r="W12" i="1" s="1"/>
  <c r="Z12" i="2"/>
  <c r="AX9" i="2"/>
  <c r="T10" i="2"/>
  <c r="AZ7" i="2"/>
  <c r="BA4" i="2"/>
  <c r="F4" i="2"/>
  <c r="BA11" i="2"/>
  <c r="D3" i="2"/>
  <c r="L5" i="2"/>
  <c r="F5" i="1" s="1"/>
  <c r="C7" i="2"/>
  <c r="W6" i="2"/>
  <c r="G5" i="2"/>
  <c r="I10" i="2"/>
  <c r="BF8" i="2"/>
  <c r="W10" i="2"/>
  <c r="S6" i="2"/>
  <c r="AG4" i="2"/>
  <c r="AD3" i="2"/>
  <c r="H12" i="2"/>
  <c r="AR8" i="2"/>
  <c r="F8" i="2"/>
  <c r="BL8" i="2"/>
  <c r="BG5" i="2"/>
  <c r="AK6" i="2"/>
  <c r="M9" i="2"/>
  <c r="AN4" i="2"/>
  <c r="S11" i="2"/>
  <c r="BJ4" i="2"/>
  <c r="X8" i="2"/>
  <c r="BF10" i="2"/>
  <c r="D5" i="2"/>
  <c r="AP8" i="2"/>
  <c r="P8" i="1" s="1"/>
  <c r="I13" i="2"/>
  <c r="BD13" i="2"/>
  <c r="BE4" i="2"/>
  <c r="N3" i="2"/>
  <c r="U6" i="2"/>
  <c r="AF10" i="2"/>
  <c r="I9" i="2"/>
  <c r="M6" i="2"/>
  <c r="AV7" i="2"/>
  <c r="BH5" i="2"/>
  <c r="AR7" i="2"/>
  <c r="BK11" i="2"/>
  <c r="L3" i="2"/>
  <c r="AR4" i="2"/>
  <c r="K9" i="2"/>
  <c r="AG10" i="2"/>
  <c r="AF6" i="2"/>
  <c r="AR3" i="2"/>
  <c r="J13" i="2"/>
  <c r="M5" i="2"/>
  <c r="N9" i="2"/>
  <c r="AU11" i="2"/>
  <c r="AM5" i="2"/>
  <c r="O5" i="1" s="1"/>
  <c r="AX6" i="2"/>
  <c r="AI8" i="2"/>
  <c r="BA9" i="2"/>
  <c r="E5" i="2"/>
  <c r="X3" i="2"/>
  <c r="AF3" i="2"/>
  <c r="H3" i="2"/>
  <c r="Y10" i="2"/>
  <c r="BE11" i="2"/>
  <c r="AV3" i="2"/>
  <c r="BF13" i="2"/>
  <c r="AG5" i="2"/>
  <c r="BH12" i="2"/>
  <c r="J11" i="2"/>
  <c r="AO13" i="2"/>
  <c r="E7" i="2"/>
  <c r="BD8" i="2"/>
  <c r="J9" i="2"/>
  <c r="AE9" i="2"/>
  <c r="BJ3" i="2"/>
  <c r="BD6" i="2"/>
  <c r="AH13" i="2"/>
  <c r="AK5" i="2"/>
  <c r="T11" i="2"/>
  <c r="AQ7" i="2"/>
  <c r="AU9" i="2"/>
  <c r="AG13" i="2"/>
  <c r="M13" i="1" s="1"/>
  <c r="AB5" i="2"/>
  <c r="D7" i="2"/>
  <c r="AN8" i="2"/>
  <c r="AH5" i="2"/>
  <c r="V9" i="2"/>
  <c r="AC10" i="2"/>
  <c r="AO8" i="2"/>
  <c r="AL4" i="2"/>
  <c r="U3" i="2"/>
  <c r="I3" i="1" s="1"/>
  <c r="H7" i="2"/>
  <c r="BE5" i="2"/>
  <c r="AM6" i="2"/>
  <c r="AP11" i="2"/>
  <c r="P11" i="1" s="1"/>
  <c r="AJ10" i="2"/>
  <c r="N10" i="1" s="1"/>
  <c r="P11" i="2"/>
  <c r="AQ3" i="2"/>
  <c r="W12" i="2"/>
  <c r="G13" i="2"/>
  <c r="AA10" i="2"/>
  <c r="AN3" i="2"/>
  <c r="W8" i="2"/>
  <c r="AT12" i="2"/>
  <c r="AV4" i="2"/>
  <c r="C3" i="2"/>
  <c r="Q12" i="2"/>
  <c r="M13" i="2"/>
  <c r="G4" i="2"/>
  <c r="AW11" i="2"/>
  <c r="D11" i="2"/>
  <c r="AN13" i="2"/>
  <c r="N12" i="2"/>
  <c r="P12" i="2"/>
  <c r="AK10" i="2"/>
  <c r="E4" i="2"/>
  <c r="AI12" i="2"/>
  <c r="BB11" i="2"/>
  <c r="BJ12" i="2"/>
  <c r="X13" i="2"/>
  <c r="AD5" i="2"/>
  <c r="L5" i="1" s="1"/>
  <c r="AM9" i="2"/>
  <c r="O9" i="1" s="1"/>
  <c r="BB10" i="2"/>
  <c r="E3" i="2"/>
  <c r="BG10" i="2"/>
  <c r="AE13" i="2"/>
  <c r="F12" i="2"/>
  <c r="Y7" i="2"/>
  <c r="AX3" i="2"/>
  <c r="D4" i="2"/>
  <c r="AE7" i="2"/>
  <c r="AL7" i="2"/>
  <c r="AZ12" i="2"/>
  <c r="AS13" i="2"/>
  <c r="T9" i="2"/>
  <c r="C9" i="2"/>
  <c r="C9" i="1" s="1"/>
  <c r="L11" i="2"/>
  <c r="F11" i="1" s="1"/>
  <c r="K8" i="2"/>
  <c r="AR12" i="2"/>
  <c r="H9" i="2"/>
  <c r="H8" i="2"/>
  <c r="Q10" i="2"/>
  <c r="AM12" i="2"/>
  <c r="O12" i="1" s="1"/>
  <c r="C11" i="2"/>
  <c r="BI8" i="2"/>
  <c r="AT3" i="2"/>
  <c r="BG7" i="2"/>
  <c r="F3" i="2"/>
  <c r="AA3" i="2"/>
  <c r="H10" i="2"/>
  <c r="G6" i="2"/>
  <c r="P4" i="2"/>
  <c r="F6" i="2"/>
  <c r="D6" i="1" s="1"/>
  <c r="L12" i="2"/>
  <c r="AI4" i="2"/>
  <c r="AC12" i="2"/>
  <c r="AT10" i="2"/>
  <c r="AF7" i="2"/>
  <c r="C8" i="2"/>
  <c r="C8" i="1" s="1"/>
  <c r="BJ5" i="2"/>
  <c r="BH10" i="2"/>
  <c r="V10" i="1" s="1"/>
  <c r="J4" i="2"/>
  <c r="AN11" i="2"/>
  <c r="U9" i="2"/>
  <c r="AA11" i="2"/>
  <c r="E12" i="2"/>
  <c r="L10" i="2"/>
  <c r="BI7" i="2"/>
  <c r="I8" i="2"/>
  <c r="BD9" i="2"/>
  <c r="AD12" i="2"/>
  <c r="AO4" i="2"/>
  <c r="AU4" i="2"/>
  <c r="N7" i="2"/>
  <c r="U11" i="2"/>
  <c r="I11" i="1" s="1"/>
  <c r="AU13" i="2"/>
  <c r="AN7" i="2"/>
  <c r="BM10" i="2"/>
  <c r="AU10" i="2"/>
  <c r="BD7" i="2"/>
  <c r="O9" i="2"/>
  <c r="AJ8" i="2"/>
  <c r="AI7" i="2"/>
  <c r="Z5" i="2"/>
  <c r="BG4" i="2"/>
  <c r="AB4" i="2"/>
  <c r="AB12" i="2"/>
  <c r="BM5" i="2"/>
  <c r="S3" i="2"/>
  <c r="N11" i="2"/>
  <c r="AH12" i="2"/>
  <c r="K10" i="2"/>
  <c r="AT9" i="2"/>
  <c r="BG8" i="2"/>
  <c r="K6" i="2"/>
  <c r="AM7" i="2"/>
  <c r="BC9" i="2"/>
  <c r="BB5" i="2"/>
  <c r="AW3" i="2"/>
  <c r="AX7" i="2"/>
  <c r="AC9" i="2"/>
  <c r="BD12" i="2"/>
  <c r="O12" i="2"/>
  <c r="AW10" i="2"/>
  <c r="AP6" i="2"/>
  <c r="P6" i="1" s="1"/>
  <c r="AJ5" i="2"/>
  <c r="N5" i="1" s="1"/>
  <c r="AA12" i="2"/>
  <c r="I7" i="2"/>
  <c r="E7" i="1" s="1"/>
  <c r="AB11" i="2"/>
  <c r="Y13" i="2"/>
  <c r="BL7" i="2"/>
  <c r="Y5" i="2"/>
  <c r="AL5" i="2"/>
  <c r="AW4" i="2"/>
  <c r="BJ8" i="2"/>
  <c r="AO10" i="2"/>
  <c r="AU3" i="2"/>
  <c r="AK7" i="2"/>
  <c r="T13" i="2"/>
  <c r="O10" i="2"/>
  <c r="Q9" i="2"/>
  <c r="R6" i="2"/>
  <c r="BH7" i="2"/>
  <c r="Y11" i="2"/>
  <c r="BE8" i="2"/>
  <c r="O7" i="2"/>
  <c r="G7" i="1" l="1"/>
  <c r="F12" i="1"/>
  <c r="C3" i="1"/>
  <c r="L3" i="1"/>
  <c r="C7" i="1"/>
  <c r="M12" i="1"/>
  <c r="E12" i="1"/>
  <c r="T6" i="1"/>
  <c r="Q8" i="1"/>
  <c r="S4" i="1"/>
  <c r="S3" i="1"/>
  <c r="S13" i="1"/>
  <c r="T4" i="1"/>
  <c r="E8" i="1"/>
  <c r="U8" i="1"/>
  <c r="F9" i="1"/>
  <c r="I4" i="1"/>
  <c r="V9" i="1"/>
  <c r="M11" i="1"/>
  <c r="O6" i="1"/>
  <c r="D4" i="1"/>
  <c r="P9" i="1"/>
  <c r="H4" i="1"/>
  <c r="M3" i="1"/>
  <c r="K3" i="1"/>
  <c r="F3" i="1"/>
  <c r="L4" i="1"/>
  <c r="T5" i="1"/>
  <c r="N8" i="1"/>
  <c r="R8" i="1"/>
  <c r="N9" i="1"/>
  <c r="J13" i="1"/>
  <c r="U11" i="1"/>
  <c r="M10" i="1"/>
  <c r="G12" i="1"/>
  <c r="L12" i="1"/>
  <c r="T10" i="1"/>
  <c r="M5" i="1"/>
  <c r="U4" i="1"/>
  <c r="R11" i="2"/>
  <c r="H11" i="1" s="1"/>
  <c r="V3" i="1"/>
  <c r="F8" i="1"/>
  <c r="V11" i="1"/>
  <c r="V5" i="1"/>
  <c r="E5" i="1"/>
  <c r="S5" i="1"/>
  <c r="H5" i="1"/>
  <c r="G5" i="1"/>
  <c r="T8" i="1"/>
  <c r="J9" i="1"/>
  <c r="N7" i="1"/>
  <c r="O13" i="1"/>
  <c r="L6" i="1"/>
  <c r="AV5" i="2"/>
  <c r="R5" i="1" s="1"/>
  <c r="L9" i="1"/>
  <c r="W8" i="1"/>
  <c r="S10" i="1"/>
  <c r="W7" i="1"/>
  <c r="Q4" i="1"/>
  <c r="D5" i="1"/>
  <c r="J6" i="1"/>
  <c r="U7" i="1"/>
  <c r="W10" i="1"/>
  <c r="G8" i="1"/>
  <c r="R4" i="1"/>
  <c r="R3" i="1"/>
  <c r="R7" i="1"/>
  <c r="E13" i="1"/>
  <c r="M4" i="1"/>
  <c r="T13" i="1"/>
  <c r="P10" i="1"/>
  <c r="N6" i="1"/>
  <c r="Q10" i="1"/>
  <c r="D10" i="1"/>
  <c r="K9" i="1"/>
  <c r="Q9" i="1"/>
  <c r="P4" i="1"/>
  <c r="J11" i="1"/>
  <c r="H7" i="1"/>
  <c r="K7" i="1"/>
  <c r="F6" i="1"/>
  <c r="D9" i="1"/>
  <c r="J5" i="1"/>
  <c r="K5" i="1"/>
  <c r="W9" i="1"/>
  <c r="Q12" i="1"/>
  <c r="R6" i="1"/>
  <c r="I8" i="1"/>
  <c r="Q11" i="1"/>
  <c r="H3" i="1"/>
  <c r="K12" i="1"/>
  <c r="F10" i="1"/>
  <c r="D12" i="1"/>
  <c r="E9" i="1"/>
  <c r="N11" i="1"/>
  <c r="R9" i="1"/>
  <c r="N4" i="1"/>
  <c r="K4" i="1"/>
  <c r="R11" i="1"/>
  <c r="J12" i="1"/>
  <c r="L8" i="1"/>
  <c r="K13" i="1"/>
  <c r="V8" i="1"/>
  <c r="S6" i="1"/>
  <c r="J4" i="1"/>
  <c r="I5" i="1"/>
  <c r="Q5" i="1"/>
  <c r="P13" i="1"/>
  <c r="C4" i="1"/>
  <c r="H9" i="1"/>
  <c r="Q13" i="1"/>
  <c r="L11" i="1"/>
  <c r="D13" i="1"/>
  <c r="C12" i="1"/>
  <c r="U10" i="1"/>
  <c r="M7" i="1"/>
  <c r="T7" i="1"/>
  <c r="F4" i="1"/>
  <c r="R13" i="1"/>
  <c r="C5" i="1"/>
  <c r="G13" i="1"/>
  <c r="C10" i="1"/>
  <c r="V7" i="1"/>
  <c r="I6" i="1"/>
  <c r="J8" i="1"/>
  <c r="D8" i="1"/>
  <c r="E10" i="1"/>
  <c r="L13" i="1"/>
  <c r="T12" i="1"/>
  <c r="E4" i="1"/>
  <c r="H12" i="1"/>
  <c r="M8" i="1"/>
  <c r="V4" i="1"/>
  <c r="Q3" i="1"/>
  <c r="S9" i="1"/>
  <c r="N13" i="1"/>
  <c r="E11" i="1"/>
  <c r="H8" i="1"/>
  <c r="H10" i="1"/>
  <c r="O11" i="1"/>
  <c r="M6" i="1"/>
  <c r="W4" i="1"/>
  <c r="W3" i="1"/>
  <c r="P7" i="1"/>
  <c r="H6" i="1"/>
  <c r="T11" i="1"/>
  <c r="G4" i="1"/>
  <c r="I12" i="1"/>
  <c r="L7" i="1"/>
  <c r="G9" i="1"/>
  <c r="K11" i="1"/>
  <c r="K10" i="1"/>
  <c r="U5" i="1"/>
  <c r="G10" i="1"/>
  <c r="O7" i="1"/>
  <c r="I9" i="1"/>
  <c r="D3" i="1"/>
  <c r="V12" i="1"/>
  <c r="J3" i="1"/>
  <c r="F13" i="1"/>
  <c r="O4" i="1"/>
  <c r="U12" i="1"/>
  <c r="R10" i="1"/>
  <c r="O10" i="1"/>
  <c r="U9" i="1"/>
  <c r="J7" i="1"/>
  <c r="V6" i="1"/>
  <c r="J10" i="1"/>
  <c r="N12" i="1"/>
  <c r="Q6" i="1"/>
  <c r="D7" i="1"/>
  <c r="P3" i="1"/>
  <c r="C6" i="1"/>
  <c r="P5" i="1"/>
  <c r="P12" i="1"/>
  <c r="L10" i="1"/>
  <c r="W6" i="1"/>
  <c r="K6" i="1"/>
  <c r="E3" i="1"/>
  <c r="I10" i="1"/>
  <c r="T9" i="1"/>
  <c r="O3" i="1"/>
  <c r="U13" i="1"/>
  <c r="E6" i="1"/>
  <c r="H13" i="1"/>
  <c r="S12" i="1"/>
  <c r="K8" i="1"/>
  <c r="S8" i="1"/>
  <c r="M9" i="1"/>
  <c r="O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<sst xmlns="http://schemas.openxmlformats.org/spreadsheetml/2006/main" count="140" uniqueCount="55">
  <si>
    <t>Ciprofloxacin</t>
  </si>
  <si>
    <t>Norfloxacin</t>
  </si>
  <si>
    <t>Cefdinir</t>
  </si>
  <si>
    <t>Aztreonam</t>
  </si>
  <si>
    <t>Azithromycin</t>
  </si>
  <si>
    <t>Tetracycline HCl</t>
  </si>
  <si>
    <t>Kanamycin</t>
  </si>
  <si>
    <t>Trimethoprim</t>
  </si>
  <si>
    <t>Sulfamethoxazole</t>
  </si>
  <si>
    <t>Colistin</t>
  </si>
  <si>
    <t>Nitrofurantoin</t>
  </si>
  <si>
    <t>Control</t>
  </si>
  <si>
    <t>A</t>
  </si>
  <si>
    <t>no bac</t>
  </si>
  <si>
    <t>B</t>
  </si>
  <si>
    <t>C</t>
  </si>
  <si>
    <t>D</t>
  </si>
  <si>
    <t>E</t>
  </si>
  <si>
    <t>no drug</t>
  </si>
  <si>
    <t>F</t>
  </si>
  <si>
    <t>G</t>
  </si>
  <si>
    <t>H</t>
  </si>
  <si>
    <t>BHI</t>
  </si>
  <si>
    <t>MAGVN</t>
  </si>
  <si>
    <t>RPMI</t>
  </si>
  <si>
    <t>LB</t>
  </si>
  <si>
    <t>DMEM</t>
  </si>
  <si>
    <t>MAP</t>
  </si>
  <si>
    <t>MAGV</t>
  </si>
  <si>
    <t>MHB-F</t>
  </si>
  <si>
    <t>MHB-S</t>
  </si>
  <si>
    <t>MAG</t>
  </si>
  <si>
    <t>MAFr</t>
  </si>
  <si>
    <t>MAR</t>
  </si>
  <si>
    <t>MAGly</t>
  </si>
  <si>
    <t>MAG-Na</t>
  </si>
  <si>
    <t>MAG-Tr</t>
  </si>
  <si>
    <t>MAFu</t>
  </si>
  <si>
    <t>MA</t>
  </si>
  <si>
    <t>MAGN</t>
  </si>
  <si>
    <t>MG</t>
  </si>
  <si>
    <t>Media</t>
  </si>
  <si>
    <t>Replicate</t>
  </si>
  <si>
    <t>AU</t>
  </si>
  <si>
    <t>MHB</t>
  </si>
  <si>
    <t>Conc. below 8</t>
  </si>
  <si>
    <t>NaN</t>
  </si>
  <si>
    <t>DMEM SMX value changed to reflect bias of taking 48 hours rather than 24 hour measurement</t>
  </si>
  <si>
    <t>Some SMX values manually changed to those observed in additional experiments to test values outside of original ranges (BHI, SMX, MA) - see end of PowerPoint</t>
  </si>
  <si>
    <t>Median of MGCs calculated across each plate as shown in tab 'MGCs each plate'</t>
  </si>
  <si>
    <t>MGCs calculated by using the calls of full or reduced growth in 'Well calls each plate' to select concentration from 'Plate map key.'</t>
  </si>
  <si>
    <t>Values represent which row of the plate was last called to contain 'full growth' using neural network pipeline with manual adjustments as needed. See representation of these values in PowerPoint MGCRecordPlates.pptx.</t>
  </si>
  <si>
    <t>A value with .5 added indicates the call should be made between rows. For example, a call of 4.5 represents an MGC being averaged between row 4 and row 5 of the drug concentration plate.</t>
  </si>
  <si>
    <t>Plate map represents drug concentrations used in all plates of screen. Concentrations below the lowest used in row H are shown here to calculate MGCs where no growth was seen at any concentration.</t>
  </si>
  <si>
    <t>Across all tabs, blacked out values are values removed from consideration due to mistake with experiment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</si>
</sst>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4" x14ac:knownFonts="1">
    <font>
      <sz val="12"/>
      <color theme="1"/>
      <name val="Aptos Narrow"/>
      <family val="2"/>
      <scheme val="minor"/>
    </font>
    <font>
      <sz val="12"/>
      <color theme="1"/>
      <name val="Calibri"/>
      <family val="2"/>
    </font>
    <font>
      <sz val="10"/>
      <color rgb="FF000000"/>
      <name val="Calibri"/>
      <family val="2"/>
    </font>
    <font>
      <sz val="12"/>
      <name val="Calibri"/>
      <family val="2"/>
    </font>
  </fonts>
  <fills count="15">
    <fill>
      <patternFill patternType="none"/>
    </fill>
    <fill>
      <patternFill patternType="gray125"/>
    </fill>
    <fill>
      <patternFill patternType="solid">
        <fgColor rgb="FFFF0000"/>
        <bgColor rgb="FF000000"/>
      </patternFill>
    </fill>
    <fill>
      <patternFill patternType="solid">
        <fgColor rgb="FFFF6544"/>
        <bgColor rgb="FF000000"/>
      </patternFill>
    </fill>
    <fill>
      <patternFill patternType="solid">
        <fgColor rgb="FFED7D31"/>
        <bgColor rgb="FF000000"/>
      </patternFill>
    </fill>
    <fill>
      <patternFill patternType="solid">
        <fgColor rgb="FFFFAB2A"/>
        <bgColor rgb="FF000000"/>
      </patternFill>
    </fill>
    <fill>
      <patternFill patternType="solid">
        <fgColor rgb="FFFFD966"/>
        <bgColor rgb="FF000000"/>
      </patternFill>
    </fill>
    <fill>
      <patternFill patternType="solid">
        <fgColor rgb="FFFFFF00"/>
        <bgColor rgb="FF000000"/>
      </patternFill>
    </fill>
    <fill>
      <patternFill patternType="solid">
        <fgColor rgb="FFD9FF48"/>
        <bgColor rgb="FF000000"/>
      </patternFill>
    </fill>
    <fill>
      <patternFill patternType="solid">
        <fgColor rgb="FF92D050"/>
        <bgColor rgb="FF000000"/>
      </patternFill>
    </fill>
    <fill>
      <patternFill patternType="solid">
        <fgColor rgb="FF00B050"/>
        <bgColor rgb="FF000000"/>
      </patternFill>
    </fill>
    <fill>
      <patternFill patternType="solid">
        <fgColor rgb="FF00FF83"/>
        <bgColor rgb="FF000000"/>
      </patternFill>
    </fill>
    <fill>
      <patternFill patternType="solid">
        <fgColor rgb="FF00FFD6"/>
        <bgColor rgb="FF000000"/>
      </patternFill>
    </fill>
    <fill>
      <patternFill patternType="solid">
        <fgColor rgb="FFA6A6A6"/>
        <bgColor rgb="FF000000"/>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6">
    <xf numFmtId="0" fontId="0" fillId="0" borderId="0" xfId="0"/>
    <xf numFmtId="0" fontId="1" fillId="0" borderId="0" xfId="0" applyFont="1"/>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2"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2" fillId="10" borderId="0" xfId="0" applyFont="1" applyFill="1" applyAlignment="1">
      <alignment horizontal="center"/>
    </xf>
    <xf numFmtId="0" fontId="1" fillId="11" borderId="0" xfId="0" applyFont="1" applyFill="1" applyAlignment="1">
      <alignment horizontal="center"/>
    </xf>
    <xf numFmtId="0" fontId="1" fillId="12" borderId="0" xfId="0" applyFont="1" applyFill="1" applyAlignment="1">
      <alignment horizontal="center"/>
    </xf>
    <xf numFmtId="0" fontId="1" fillId="13" borderId="0" xfId="0" applyFont="1" applyFill="1" applyAlignment="1">
      <alignment horizontal="center"/>
    </xf>
    <xf numFmtId="164" fontId="3" fillId="2" borderId="1" xfId="0" applyNumberFormat="1" applyFont="1" applyFill="1" applyBorder="1"/>
    <xf numFmtId="2" fontId="3" fillId="4" borderId="1" xfId="0" applyNumberFormat="1" applyFont="1" applyFill="1" applyBorder="1"/>
    <xf numFmtId="0" fontId="3" fillId="13" borderId="1" xfId="0" applyFont="1" applyFill="1" applyBorder="1"/>
    <xf numFmtId="164" fontId="3" fillId="12" borderId="1" xfId="0" applyNumberFormat="1" applyFont="1" applyFill="1" applyBorder="1"/>
    <xf numFmtId="164" fontId="3" fillId="3" borderId="1" xfId="0" applyNumberFormat="1" applyFont="1" applyFill="1" applyBorder="1"/>
    <xf numFmtId="164" fontId="3" fillId="8" borderId="1" xfId="0" applyNumberFormat="1" applyFont="1" applyFill="1" applyBorder="1"/>
    <xf numFmtId="0" fontId="1" fillId="13" borderId="1" xfId="0" applyFont="1" applyFill="1" applyBorder="1"/>
    <xf numFmtId="0" fontId="3" fillId="3" borderId="1" xfId="0" applyFont="1" applyFill="1" applyBorder="1"/>
    <xf numFmtId="0" fontId="3" fillId="4" borderId="1" xfId="0" applyFont="1" applyFill="1" applyBorder="1"/>
    <xf numFmtId="164" fontId="3" fillId="5" borderId="1" xfId="0" applyNumberFormat="1" applyFont="1" applyFill="1" applyBorder="1"/>
    <xf numFmtId="2" fontId="3" fillId="6" borderId="1" xfId="0" applyNumberFormat="1" applyFont="1" applyFill="1" applyBorder="1"/>
    <xf numFmtId="165" fontId="3" fillId="7" borderId="1" xfId="0" applyNumberFormat="1" applyFont="1" applyFill="1" applyBorder="1"/>
    <xf numFmtId="0" fontId="3" fillId="8" borderId="1" xfId="0" applyFont="1" applyFill="1" applyBorder="1"/>
    <xf numFmtId="0" fontId="3" fillId="9" borderId="1" xfId="0" applyFont="1" applyFill="1" applyBorder="1"/>
    <xf numFmtId="0" fontId="3" fillId="10" borderId="1" xfId="0" applyFont="1" applyFill="1" applyBorder="1"/>
    <xf numFmtId="0" fontId="3" fillId="11" borderId="1" xfId="0" applyFont="1" applyFill="1" applyBorder="1"/>
    <xf numFmtId="0" fontId="3" fillId="12" borderId="1" xfId="0" applyFont="1" applyFill="1" applyBorder="1"/>
    <xf numFmtId="2" fontId="3" fillId="8" borderId="1" xfId="0" applyNumberFormat="1" applyFont="1" applyFill="1" applyBorder="1"/>
    <xf numFmtId="2" fontId="3" fillId="9" borderId="1" xfId="0" applyNumberFormat="1" applyFont="1" applyFill="1" applyBorder="1"/>
    <xf numFmtId="1" fontId="3" fillId="10" borderId="1" xfId="0" applyNumberFormat="1" applyFont="1" applyFill="1" applyBorder="1"/>
    <xf numFmtId="2" fontId="3" fillId="11" borderId="1" xfId="0" applyNumberFormat="1" applyFont="1" applyFill="1" applyBorder="1"/>
    <xf numFmtId="165" fontId="3" fillId="12" borderId="1" xfId="0" applyNumberFormat="1" applyFont="1" applyFill="1" applyBorder="1"/>
    <xf numFmtId="164" fontId="3" fillId="4" borderId="1" xfId="0" applyNumberFormat="1" applyFont="1" applyFill="1" applyBorder="1"/>
    <xf numFmtId="2" fontId="3" fillId="7" borderId="1" xfId="0" applyNumberFormat="1" applyFont="1" applyFill="1" applyBorder="1"/>
    <xf numFmtId="165" fontId="3" fillId="10" borderId="1" xfId="0" applyNumberFormat="1" applyFont="1" applyFill="1" applyBorder="1"/>
    <xf numFmtId="2" fontId="3" fillId="12" borderId="1" xfId="0" applyNumberFormat="1" applyFont="1" applyFill="1" applyBorder="1"/>
    <xf numFmtId="164" fontId="3" fillId="7" borderId="1" xfId="0" applyNumberFormat="1" applyFont="1" applyFill="1" applyBorder="1"/>
    <xf numFmtId="164" fontId="3" fillId="11" borderId="1" xfId="0" applyNumberFormat="1" applyFont="1" applyFill="1" applyBorder="1"/>
    <xf numFmtId="164" fontId="3" fillId="9" borderId="1" xfId="0" applyNumberFormat="1" applyFont="1" applyFill="1" applyBorder="1"/>
    <xf numFmtId="164" fontId="3" fillId="10" borderId="1" xfId="0" applyNumberFormat="1" applyFont="1" applyFill="1" applyBorder="1"/>
    <xf numFmtId="164" fontId="3" fillId="6" borderId="1" xfId="0" applyNumberFormat="1" applyFont="1" applyFill="1" applyBorder="1"/>
    <xf numFmtId="0" fontId="0" fillId="0" borderId="0" xfId="0" applyAlignment="1">
      <alignment horizontal="center"/>
    </xf>
    <xf numFmtId="0" fontId="0" fillId="0" borderId="1" xfId="0" applyBorder="1"/>
    <xf numFmtId="0" fontId="0" fillId="0" borderId="2" xfId="0" applyBorder="1"/>
    <xf numFmtId="0" fontId="1" fillId="0" borderId="0" xfId="0" applyFont="1" applyAlignment="1">
      <alignment horizontal="center"/>
    </xf>
    <xf numFmtId="0" fontId="1" fillId="9" borderId="1" xfId="0" applyFont="1" applyFill="1" applyBorder="1" applyAlignment="1">
      <alignment horizontal="center"/>
    </xf>
    <xf numFmtId="0" fontId="2" fillId="10" borderId="1" xfId="0" applyFont="1" applyFill="1" applyBorder="1" applyAlignment="1">
      <alignment horizontal="center"/>
    </xf>
    <xf numFmtId="0" fontId="1" fillId="11" borderId="1" xfId="0" applyFont="1" applyFill="1" applyBorder="1" applyAlignment="1">
      <alignment horizontal="center"/>
    </xf>
    <xf numFmtId="0" fontId="1" fillId="12"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xf>
    <xf numFmtId="0" fontId="2" fillId="7" borderId="1" xfId="0" applyFont="1" applyFill="1" applyBorder="1" applyAlignment="1">
      <alignment horizontal="center"/>
    </xf>
    <xf numFmtId="0" fontId="1" fillId="8" borderId="1" xfId="0" applyFont="1" applyFill="1" applyBorder="1" applyAlignment="1">
      <alignment horizontal="center"/>
    </xf>
    <xf numFmtId="166" fontId="0" fillId="0" borderId="0" xfId="0" applyNumberFormat="1"/>
    <xf numFmtId="164" fontId="0" fillId="0" borderId="0" xfId="0" applyNumberFormat="1"/>
    <xf numFmtId="2" fontId="0" fillId="0" borderId="0" xfId="0" applyNumberFormat="1"/>
    <xf numFmtId="164" fontId="0" fillId="0" borderId="1" xfId="0" applyNumberFormat="1" applyBorder="1"/>
    <xf numFmtId="164" fontId="0" fillId="0" borderId="2" xfId="0" applyNumberFormat="1" applyBorder="1"/>
    <xf numFmtId="0" fontId="0" fillId="14" borderId="1" xfId="0" applyFill="1" applyBorder="1"/>
    <xf numFmtId="164" fontId="0" fillId="14" borderId="1" xfId="0" applyNumberFormat="1" applyFill="1" applyBorder="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0625-4C14-E04D-A9C4-60A9CB323096}">
  <dimension ref="B2:W25"/>
  <sheetViews>
    <sheetView tabSelected="1" zoomScale="84" workbookViewId="0">
      <selection activeCell="B26" sqref="B26"/>
    </sheetView>
  </sheetViews>
  <sheetFormatPr baseColWidth="10" defaultRowHeight="16" x14ac:dyDescent="0.2"/>
  <cols>
    <col min="2" max="2" width="13" bestFit="1" customWidth="1"/>
  </cols>
  <sheetData>
    <row r="2" spans="2:23" x14ac:dyDescent="0.2">
      <c r="C2" s="45" t="s">
        <v>22</v>
      </c>
      <c r="D2" s="45" t="s">
        <v>23</v>
      </c>
      <c r="E2" s="45" t="s">
        <v>24</v>
      </c>
      <c r="F2" s="45" t="s">
        <v>25</v>
      </c>
      <c r="G2" s="45" t="s">
        <v>26</v>
      </c>
      <c r="H2" s="45" t="s">
        <v>27</v>
      </c>
      <c r="I2" s="45" t="s">
        <v>28</v>
      </c>
      <c r="J2" s="45" t="s">
        <v>29</v>
      </c>
      <c r="K2" s="45" t="s">
        <v>30</v>
      </c>
      <c r="L2" s="45" t="s">
        <v>43</v>
      </c>
      <c r="M2" s="45" t="s">
        <v>44</v>
      </c>
      <c r="N2" s="45" t="s">
        <v>31</v>
      </c>
      <c r="O2" s="45" t="s">
        <v>32</v>
      </c>
      <c r="P2" s="45" t="s">
        <v>33</v>
      </c>
      <c r="Q2" s="45" t="s">
        <v>34</v>
      </c>
      <c r="R2" s="45" t="s">
        <v>35</v>
      </c>
      <c r="S2" s="45" t="s">
        <v>36</v>
      </c>
      <c r="T2" s="45" t="s">
        <v>37</v>
      </c>
      <c r="U2" s="45" t="s">
        <v>38</v>
      </c>
      <c r="V2" s="45" t="s">
        <v>39</v>
      </c>
      <c r="W2" s="45" t="s">
        <v>40</v>
      </c>
    </row>
    <row r="3" spans="2:23" x14ac:dyDescent="0.2">
      <c r="B3" s="2" t="s">
        <v>0</v>
      </c>
      <c r="C3" s="61">
        <f ca="1">MEDIAN('MGCs each plate'!C3:E3)</f>
        <v>1.8310546875E-2</v>
      </c>
      <c r="D3" s="61">
        <f ca="1">MEDIAN('MGCs each plate'!F3:H3)</f>
        <v>1.220703125E-2</v>
      </c>
      <c r="E3" s="61">
        <f ca="1">MEDIAN('MGCs each plate'!I3:K3)</f>
        <v>6.103515625E-3</v>
      </c>
      <c r="F3" s="61">
        <f ca="1">MEDIAN('MGCs each plate'!L3:N3)</f>
        <v>3.662109375E-2</v>
      </c>
      <c r="G3" s="61">
        <f ca="1">MEDIAN('MGCs each plate'!O3:Q3)</f>
        <v>2.44140625E-2</v>
      </c>
      <c r="H3" s="61">
        <f ca="1">MEDIAN('MGCs each plate'!R3:T3)</f>
        <v>1.220703125E-2</v>
      </c>
      <c r="I3" s="61">
        <f ca="1">MEDIAN('MGCs each plate'!U3:W3)</f>
        <v>1.8310546875E-2</v>
      </c>
      <c r="J3" s="61">
        <f ca="1">MEDIAN('MGCs each plate'!X3:Z3)</f>
        <v>9.1552734375E-3</v>
      </c>
      <c r="K3" s="61">
        <f ca="1">MEDIAN('MGCs each plate'!AA3:AC3)</f>
        <v>4.57763671875E-3</v>
      </c>
      <c r="L3" s="61">
        <f ca="1">MEDIAN('MGCs each plate'!AD3:AF3)</f>
        <v>6.103515625E-3</v>
      </c>
      <c r="M3" s="61">
        <f ca="1">MEDIAN('MGCs each plate'!AG3:AI3)</f>
        <v>1.220703125E-2</v>
      </c>
      <c r="N3" s="61">
        <f ca="1">MEDIAN('MGCs each plate'!AJ3:AL3)</f>
        <v>1.8310546875E-2</v>
      </c>
      <c r="O3" s="61">
        <f ca="1">MEDIAN('MGCs each plate'!AM3:AO3)</f>
        <v>1.8310546875E-2</v>
      </c>
      <c r="P3" s="61">
        <f ca="1">MEDIAN('MGCs each plate'!AP3:AR3)</f>
        <v>9.1552734375E-3</v>
      </c>
      <c r="Q3" s="61">
        <f ca="1">MEDIAN('MGCs each plate'!AS3:AU3)</f>
        <v>1.8310546875E-2</v>
      </c>
      <c r="R3" s="61">
        <f ca="1">MEDIAN('MGCs each plate'!AV3:AX3)</f>
        <v>6.103515625E-3</v>
      </c>
      <c r="S3" s="61">
        <f ca="1">MEDIAN('MGCs each plate'!AY3:BA3)</f>
        <v>1.8310546875E-2</v>
      </c>
      <c r="T3" s="61">
        <f ca="1">MEDIAN('MGCs each plate'!BB3:BD3)</f>
        <v>9.1552734375E-3</v>
      </c>
      <c r="U3" s="61">
        <f ca="1">MEDIAN('MGCs each plate'!BE3:BG3)</f>
        <v>4.57763671875E-3</v>
      </c>
      <c r="V3" s="61">
        <f ca="1">MEDIAN('MGCs each plate'!BH3:BJ3)</f>
        <v>1.220703125E-2</v>
      </c>
      <c r="W3" s="61">
        <f ca="1">MEDIAN('MGCs each plate'!BK3:BM3)</f>
        <v>9.1552734375E-3</v>
      </c>
    </row>
    <row r="4" spans="2:23" x14ac:dyDescent="0.2">
      <c r="B4" s="3" t="s">
        <v>1</v>
      </c>
      <c r="C4" s="61">
        <f ca="1">MEDIAN('MGCs each plate'!C4:E4)</f>
        <v>0.1953125</v>
      </c>
      <c r="D4" s="61">
        <f ca="1">MEDIAN('MGCs each plate'!F4:H4)</f>
        <v>7.32421875E-2</v>
      </c>
      <c r="E4" s="61">
        <f ca="1">MEDIAN('MGCs each plate'!I4:K4)</f>
        <v>4.8828125E-2</v>
      </c>
      <c r="F4" s="61">
        <f ca="1">MEDIAN('MGCs each plate'!L4:N4)</f>
        <v>0.29296875</v>
      </c>
      <c r="G4" s="61">
        <f ca="1">MEDIAN('MGCs each plate'!O4:Q4)</f>
        <v>0.1953125</v>
      </c>
      <c r="H4" s="61">
        <f ca="1">MEDIAN('MGCs each plate'!R4:T4)</f>
        <v>9.765625E-2</v>
      </c>
      <c r="I4" s="61">
        <f ca="1">MEDIAN('MGCs each plate'!U4:W4)</f>
        <v>9.765625E-2</v>
      </c>
      <c r="J4" s="61">
        <f ca="1">MEDIAN('MGCs each plate'!X4:Z4)</f>
        <v>4.8828125E-2</v>
      </c>
      <c r="K4" s="61">
        <f ca="1">MEDIAN('MGCs each plate'!AA4:AC4)</f>
        <v>3.662109375E-2</v>
      </c>
      <c r="L4" s="61">
        <f ca="1">MEDIAN('MGCs each plate'!AD4:AF4)</f>
        <v>4.8828125E-2</v>
      </c>
      <c r="M4" s="61">
        <f ca="1">MEDIAN('MGCs each plate'!AG4:AI4)</f>
        <v>7.32421875E-2</v>
      </c>
      <c r="N4" s="61">
        <f ca="1">MEDIAN('MGCs each plate'!AJ4:AL4)</f>
        <v>9.765625E-2</v>
      </c>
      <c r="O4" s="61">
        <f ca="1">MEDIAN('MGCs each plate'!AM4:AO4)</f>
        <v>9.765625E-2</v>
      </c>
      <c r="P4" s="61">
        <f ca="1">MEDIAN('MGCs each plate'!AP4:AR4)</f>
        <v>7.32421875E-2</v>
      </c>
      <c r="Q4" s="61">
        <f ca="1">MEDIAN('MGCs each plate'!AS4:AU4)</f>
        <v>7.32421875E-2</v>
      </c>
      <c r="R4" s="61">
        <f ca="1">MEDIAN('MGCs each plate'!AV4:AX4)</f>
        <v>4.8828125E-2</v>
      </c>
      <c r="S4" s="61">
        <f ca="1">MEDIAN('MGCs each plate'!AY4:BA4)</f>
        <v>9.765625E-2</v>
      </c>
      <c r="T4" s="61">
        <f ca="1">MEDIAN('MGCs each plate'!BB4:BD4)</f>
        <v>7.32421875E-2</v>
      </c>
      <c r="U4" s="61">
        <f ca="1">MEDIAN('MGCs each plate'!BE4:BG4)</f>
        <v>3.662109375E-2</v>
      </c>
      <c r="V4" s="61">
        <f ca="1">MEDIAN('MGCs each plate'!BH4:BJ4)</f>
        <v>9.765625E-2</v>
      </c>
      <c r="W4" s="61">
        <f ca="1">MEDIAN('MGCs each plate'!BK4:BM4)</f>
        <v>4.8828125E-2</v>
      </c>
    </row>
    <row r="5" spans="2:23" x14ac:dyDescent="0.2">
      <c r="B5" s="4" t="s">
        <v>2</v>
      </c>
      <c r="C5" s="61">
        <f ca="1">MEDIAN('MGCs each plate'!C5:E5)</f>
        <v>0.390625</v>
      </c>
      <c r="D5" s="61">
        <f ca="1">MEDIAN('MGCs each plate'!F5:H5)</f>
        <v>0.1953125</v>
      </c>
      <c r="E5" s="61">
        <f ca="1">MEDIAN('MGCs each plate'!I5:K5)</f>
        <v>0.1953125</v>
      </c>
      <c r="F5" s="61">
        <f ca="1">MEDIAN('MGCs each plate'!L5:N5)</f>
        <v>0.5859375</v>
      </c>
      <c r="G5" s="61">
        <f ca="1">MEDIAN('MGCs each plate'!O5:Q5)</f>
        <v>0.390625</v>
      </c>
      <c r="H5" s="61">
        <f ca="1">MEDIAN('MGCs each plate'!R5:T5)</f>
        <v>0.146484375</v>
      </c>
      <c r="I5" s="61">
        <f ca="1">MEDIAN('MGCs each plate'!U5:W5)</f>
        <v>0.146484375</v>
      </c>
      <c r="J5" s="61">
        <f ca="1">MEDIAN('MGCs each plate'!X5:Z5)</f>
        <v>0.1953125</v>
      </c>
      <c r="K5" s="61">
        <f ca="1">MEDIAN('MGCs each plate'!AA5:AC5)</f>
        <v>0.29296875</v>
      </c>
      <c r="L5" s="61">
        <f ca="1">MEDIAN('MGCs each plate'!AD5:AF5)</f>
        <v>4.8828125E-2</v>
      </c>
      <c r="M5" s="61">
        <f ca="1">MEDIAN('MGCs each plate'!AG5:AI5)</f>
        <v>0.390625</v>
      </c>
      <c r="N5" s="61">
        <f ca="1">MEDIAN('MGCs each plate'!AJ5:AL5)</f>
        <v>0.146484375</v>
      </c>
      <c r="O5" s="61">
        <f ca="1">MEDIAN('MGCs each plate'!AM5:AO5)</f>
        <v>0.146484375</v>
      </c>
      <c r="P5" s="61">
        <f ca="1">MEDIAN('MGCs each plate'!AP5:AR5)</f>
        <v>7.32421875E-2</v>
      </c>
      <c r="Q5" s="61">
        <f ca="1">MEDIAN('MGCs each plate'!AS5:AU5)</f>
        <v>7.32421875E-2</v>
      </c>
      <c r="R5" s="61">
        <f ca="1">MEDIAN('MGCs each plate'!AV5:AX5)</f>
        <v>0.244140625</v>
      </c>
      <c r="S5" s="61">
        <f ca="1">MEDIAN('MGCs each plate'!AY5:BA5)</f>
        <v>0.1953125</v>
      </c>
      <c r="T5" s="61">
        <f ca="1">MEDIAN('MGCs each plate'!BB5:BD5)</f>
        <v>7.32421875E-2</v>
      </c>
      <c r="U5" s="61">
        <f ca="1">MEDIAN('MGCs each plate'!BE5:BG5)</f>
        <v>4.8828125E-2</v>
      </c>
      <c r="V5" s="61">
        <f ca="1">MEDIAN('MGCs each plate'!BH5:BJ5)</f>
        <v>0.146484375</v>
      </c>
      <c r="W5" s="61">
        <f ca="1">MEDIAN('MGCs each plate'!BK5:BM5)</f>
        <v>9.765625E-2</v>
      </c>
    </row>
    <row r="6" spans="2:23" x14ac:dyDescent="0.2">
      <c r="B6" s="5" t="s">
        <v>3</v>
      </c>
      <c r="C6" s="61">
        <f ca="1">MEDIAN('MGCs each plate'!C6:E6)</f>
        <v>9.765625E-2</v>
      </c>
      <c r="D6" s="61">
        <f ca="1">MEDIAN('MGCs each plate'!F6:H6)</f>
        <v>1.8310546875E-2</v>
      </c>
      <c r="E6" s="61">
        <f ca="1">MEDIAN('MGCs each plate'!I6:K6)</f>
        <v>4.8828125E-2</v>
      </c>
      <c r="F6" s="61">
        <f ca="1">MEDIAN('MGCs each plate'!L6:N6)</f>
        <v>7.32421875E-2</v>
      </c>
      <c r="G6" s="64" t="e">
        <f ca="1">MEDIAN('MGCs each plate'!O6:Q6)</f>
        <v>#VALUE!</v>
      </c>
      <c r="H6" s="61">
        <f ca="1">MEDIAN('MGCs each plate'!R6:T6)</f>
        <v>1.220703125E-2</v>
      </c>
      <c r="I6" s="61">
        <f ca="1">MEDIAN('MGCs each plate'!U6:W6)</f>
        <v>3.662109375E-2</v>
      </c>
      <c r="J6" s="61">
        <f ca="1">MEDIAN('MGCs each plate'!X6:Z6)</f>
        <v>7.32421875E-2</v>
      </c>
      <c r="K6" s="61">
        <f ca="1">MEDIAN('MGCs each plate'!AA6:AC6)</f>
        <v>7.32421875E-2</v>
      </c>
      <c r="L6" s="61">
        <f ca="1">MEDIAN('MGCs each plate'!AD6:AF6)</f>
        <v>6.103515625E-3</v>
      </c>
      <c r="M6" s="61">
        <f ca="1">MEDIAN('MGCs each plate'!AG6:AI6)</f>
        <v>9.765625E-2</v>
      </c>
      <c r="N6" s="61">
        <f ca="1">MEDIAN('MGCs each plate'!AJ6:AL6)</f>
        <v>3.662109375E-2</v>
      </c>
      <c r="O6" s="61">
        <f ca="1">MEDIAN('MGCs each plate'!AM6:AO6)</f>
        <v>1.8310546875E-2</v>
      </c>
      <c r="P6" s="61">
        <f ca="1">MEDIAN('MGCs each plate'!AP6:AR6)</f>
        <v>9.1552734375E-3</v>
      </c>
      <c r="Q6" s="61">
        <f ca="1">MEDIAN('MGCs each plate'!AS6:AU6)</f>
        <v>9.1552734375E-3</v>
      </c>
      <c r="R6" s="61">
        <f ca="1">MEDIAN('MGCs each plate'!AV6:AX6)</f>
        <v>3.662109375E-2</v>
      </c>
      <c r="S6" s="61">
        <f ca="1">MEDIAN('MGCs each plate'!AY6:BA6)</f>
        <v>4.8828125E-2</v>
      </c>
      <c r="T6" s="61">
        <f ca="1">MEDIAN('MGCs each plate'!BB6:BD6)</f>
        <v>9.1552734375E-3</v>
      </c>
      <c r="U6" s="61">
        <f ca="1">MEDIAN('MGCs each plate'!BE6:BG6)</f>
        <v>9.1552734375E-3</v>
      </c>
      <c r="V6" s="61">
        <f ca="1">MEDIAN('MGCs each plate'!BH6:BJ6)</f>
        <v>1.8310546875E-2</v>
      </c>
      <c r="W6" s="61">
        <f ca="1">MEDIAN('MGCs each plate'!BK6:BM6)</f>
        <v>1.220703125E-2</v>
      </c>
    </row>
    <row r="7" spans="2:23" x14ac:dyDescent="0.2">
      <c r="B7" s="6" t="s">
        <v>4</v>
      </c>
      <c r="C7" s="61">
        <f ca="1">MEDIAN('MGCs each plate'!C7:E7)</f>
        <v>1.46484375</v>
      </c>
      <c r="D7" s="61">
        <f ca="1">MEDIAN('MGCs each plate'!F7:H7)</f>
        <v>3.90625</v>
      </c>
      <c r="E7" s="61">
        <f ca="1">MEDIAN('MGCs each plate'!I7:K7)</f>
        <v>0.244140625</v>
      </c>
      <c r="F7" s="61">
        <f ca="1">MEDIAN('MGCs each plate'!L7:N7)</f>
        <v>15.625</v>
      </c>
      <c r="G7" s="61">
        <f ca="1">MEDIAN('MGCs each plate'!O7:Q7)</f>
        <v>0.244140625</v>
      </c>
      <c r="H7" s="61">
        <f ca="1">MEDIAN('MGCs each plate'!R7:T7)</f>
        <v>3.90625</v>
      </c>
      <c r="I7" s="61">
        <f ca="1">MEDIAN('MGCs each plate'!U7:W7)</f>
        <v>3.90625</v>
      </c>
      <c r="J7" s="61">
        <f ca="1">MEDIAN('MGCs each plate'!X7:Z7)</f>
        <v>0.732421875</v>
      </c>
      <c r="K7" s="61">
        <f ca="1">MEDIAN('MGCs each plate'!AA7:AC7)</f>
        <v>0.244140625</v>
      </c>
      <c r="L7" s="61">
        <f ca="1">MEDIAN('MGCs each plate'!AD7:AF7)</f>
        <v>0.9765625</v>
      </c>
      <c r="M7" s="61">
        <f ca="1">MEDIAN('MGCs each plate'!AG7:AI7)</f>
        <v>1.46484375</v>
      </c>
      <c r="N7" s="61">
        <f ca="1">MEDIAN('MGCs each plate'!AJ7:AL7)</f>
        <v>3.90625</v>
      </c>
      <c r="O7" s="61">
        <f ca="1">MEDIAN('MGCs each plate'!AM7:AO7)</f>
        <v>3.90625</v>
      </c>
      <c r="P7" s="61">
        <f ca="1">MEDIAN('MGCs each plate'!AP7:AR7)</f>
        <v>3.90625</v>
      </c>
      <c r="Q7" s="61">
        <f ca="1">MEDIAN('MGCs each plate'!AS7:AU7)</f>
        <v>1.953125</v>
      </c>
      <c r="R7" s="61">
        <f ca="1">MEDIAN('MGCs each plate'!AV7:AX7)</f>
        <v>0.244140625</v>
      </c>
      <c r="S7" s="61">
        <f ca="1">MEDIAN('MGCs each plate'!AY7:BA7)</f>
        <v>3.90625</v>
      </c>
      <c r="T7" s="61">
        <f ca="1">MEDIAN('MGCs each plate'!BB7:BD7)</f>
        <v>2.9296875</v>
      </c>
      <c r="U7" s="61">
        <f ca="1">MEDIAN('MGCs each plate'!BE7:BG7)</f>
        <v>1.953125</v>
      </c>
      <c r="V7" s="61">
        <f ca="1">MEDIAN('MGCs each plate'!BH7:BJ7)</f>
        <v>3.90625</v>
      </c>
      <c r="W7" s="61">
        <f ca="1">MEDIAN('MGCs each plate'!BK7:BM7)</f>
        <v>7.8125</v>
      </c>
    </row>
    <row r="8" spans="2:23" x14ac:dyDescent="0.2">
      <c r="B8" s="7" t="s">
        <v>5</v>
      </c>
      <c r="C8" s="61">
        <f ca="1">MEDIAN('MGCs each plate'!C8:E8)</f>
        <v>1</v>
      </c>
      <c r="D8" s="61">
        <f ca="1">MEDIAN('MGCs each plate'!F8:H8)</f>
        <v>0.75</v>
      </c>
      <c r="E8" s="61">
        <f ca="1">MEDIAN('MGCs each plate'!I8:K8)</f>
        <v>8</v>
      </c>
      <c r="F8" s="61">
        <f ca="1">MEDIAN('MGCs each plate'!L8:N8)</f>
        <v>1.5</v>
      </c>
      <c r="G8" s="61">
        <f ca="1">MEDIAN('MGCs each plate'!O8:Q8)</f>
        <v>64</v>
      </c>
      <c r="H8" s="61">
        <f ca="1">MEDIAN('MGCs each plate'!R8:T8)</f>
        <v>0.75</v>
      </c>
      <c r="I8" s="61">
        <f ca="1">MEDIAN('MGCs each plate'!U8:W8)</f>
        <v>2</v>
      </c>
      <c r="J8" s="61">
        <f ca="1">MEDIAN('MGCs each plate'!X8:Z8)</f>
        <v>2</v>
      </c>
      <c r="K8" s="61">
        <f ca="1">MEDIAN('MGCs each plate'!AA8:AC8)</f>
        <v>0.75</v>
      </c>
      <c r="L8" s="61">
        <f ca="1">MEDIAN('MGCs each plate'!AD8:AF8)</f>
        <v>2</v>
      </c>
      <c r="M8" s="61">
        <f ca="1">MEDIAN('MGCs each plate'!AG8:AI8)</f>
        <v>1.5</v>
      </c>
      <c r="N8" s="61">
        <f ca="1">MEDIAN('MGCs each plate'!AJ8:AL8)</f>
        <v>2</v>
      </c>
      <c r="O8" s="61">
        <f ca="1">MEDIAN('MGCs each plate'!AM8:AO8)</f>
        <v>1.5</v>
      </c>
      <c r="P8" s="61">
        <f ca="1">MEDIAN('MGCs each plate'!AP8:AR8)</f>
        <v>0.5</v>
      </c>
      <c r="Q8" s="61">
        <f ca="1">MEDIAN('MGCs each plate'!AS8:AU8)</f>
        <v>1</v>
      </c>
      <c r="R8" s="61">
        <f ca="1">MEDIAN('MGCs each plate'!AV8:AX8)</f>
        <v>2</v>
      </c>
      <c r="S8" s="61">
        <f ca="1">MEDIAN('MGCs each plate'!AY8:BA8)</f>
        <v>2</v>
      </c>
      <c r="T8" s="61">
        <f ca="1">MEDIAN('MGCs each plate'!BB8:BD8)</f>
        <v>1</v>
      </c>
      <c r="U8" s="61">
        <f ca="1">MEDIAN('MGCs each plate'!BE8:BG8)</f>
        <v>0.375</v>
      </c>
      <c r="V8" s="61">
        <f ca="1">MEDIAN('MGCs each plate'!BH8:BJ8)</f>
        <v>1</v>
      </c>
      <c r="W8" s="61">
        <f ca="1">MEDIAN('MGCs each plate'!BK8:BM8)</f>
        <v>1</v>
      </c>
    </row>
    <row r="9" spans="2:23" x14ac:dyDescent="0.2">
      <c r="B9" s="8" t="s">
        <v>6</v>
      </c>
      <c r="C9" s="61">
        <f ca="1">MEDIAN('MGCs each plate'!C9:E9)</f>
        <v>5.859375</v>
      </c>
      <c r="D9" s="61">
        <f ca="1">MEDIAN('MGCs each plate'!F9:H9)</f>
        <v>15.625</v>
      </c>
      <c r="E9" s="61">
        <f ca="1">MEDIAN('MGCs each plate'!I9:K9)</f>
        <v>0.244140625</v>
      </c>
      <c r="F9" s="61">
        <f ca="1">MEDIAN('MGCs each plate'!L9:N9)</f>
        <v>7.8125</v>
      </c>
      <c r="G9" s="61">
        <f ca="1">MEDIAN('MGCs each plate'!O9:Q9)</f>
        <v>1.953125</v>
      </c>
      <c r="H9" s="61">
        <f ca="1">MEDIAN('MGCs each plate'!R9:T9)</f>
        <v>15.625</v>
      </c>
      <c r="I9" s="61">
        <f ca="1">MEDIAN('MGCs each plate'!U9:W9)</f>
        <v>7.8125</v>
      </c>
      <c r="J9" s="61">
        <f ca="1">MEDIAN('MGCs each plate'!X9:Z9)</f>
        <v>0.9765625</v>
      </c>
      <c r="K9" s="61">
        <f ca="1">MEDIAN('MGCs each plate'!AA9:AC9)</f>
        <v>1.953125</v>
      </c>
      <c r="L9" s="61">
        <f ca="1">MEDIAN('MGCs each plate'!AD9:AF9)</f>
        <v>0.9765625</v>
      </c>
      <c r="M9" s="61">
        <f ca="1">MEDIAN('MGCs each plate'!AG9:AI9)</f>
        <v>0.9765625</v>
      </c>
      <c r="N9" s="61">
        <f ca="1">MEDIAN('MGCs each plate'!AJ9:AL9)</f>
        <v>7.8125</v>
      </c>
      <c r="O9" s="61">
        <f ca="1">MEDIAN('MGCs each plate'!AM9:AO9)</f>
        <v>5.859375</v>
      </c>
      <c r="P9" s="61">
        <f ca="1">MEDIAN('MGCs each plate'!AP9:AR9)</f>
        <v>7.8125</v>
      </c>
      <c r="Q9" s="61">
        <f ca="1">MEDIAN('MGCs each plate'!AS9:AU9)</f>
        <v>5.859375</v>
      </c>
      <c r="R9" s="61">
        <f ca="1">MEDIAN('MGCs each plate'!AV9:AX9)</f>
        <v>1.953125</v>
      </c>
      <c r="S9" s="61">
        <f ca="1">MEDIAN('MGCs each plate'!AY9:BA9)</f>
        <v>7.8125</v>
      </c>
      <c r="T9" s="61">
        <f ca="1">MEDIAN('MGCs each plate'!BB9:BD9)</f>
        <v>5.859375</v>
      </c>
      <c r="U9" s="61">
        <f ca="1">MEDIAN('MGCs each plate'!BE9:BG9)</f>
        <v>5.859375</v>
      </c>
      <c r="V9" s="61">
        <f ca="1">MEDIAN('MGCs each plate'!BH9:BJ9)</f>
        <v>15.625</v>
      </c>
      <c r="W9" s="61">
        <f ca="1">MEDIAN('MGCs each plate'!BK9:BM9)</f>
        <v>1.953125</v>
      </c>
    </row>
    <row r="10" spans="2:23" x14ac:dyDescent="0.2">
      <c r="B10" s="9" t="s">
        <v>7</v>
      </c>
      <c r="C10" s="61">
        <f ca="1">MEDIAN('MGCs each plate'!C10:E10)</f>
        <v>0.732421875</v>
      </c>
      <c r="D10" s="61">
        <f ca="1">MEDIAN('MGCs each plate'!F10:H10)</f>
        <v>0.732421875</v>
      </c>
      <c r="E10" s="61">
        <f ca="1">MEDIAN('MGCs each plate'!I10:K10)</f>
        <v>0.9765625</v>
      </c>
      <c r="F10" s="61">
        <f ca="1">MEDIAN('MGCs each plate'!L10:N10)</f>
        <v>0.732421875</v>
      </c>
      <c r="G10" s="61">
        <f ca="1">MEDIAN('MGCs each plate'!O10:Q10)</f>
        <v>1.953125</v>
      </c>
      <c r="H10" s="61">
        <f ca="1">MEDIAN('MGCs each plate'!R10:T10)</f>
        <v>1.46484375</v>
      </c>
      <c r="I10" s="61">
        <f ca="1">MEDIAN('MGCs each plate'!U10:W10)</f>
        <v>1.953125</v>
      </c>
      <c r="J10" s="61">
        <f ca="1">MEDIAN('MGCs each plate'!X10:Z10)</f>
        <v>0.3662109375</v>
      </c>
      <c r="K10" s="61">
        <f ca="1">MEDIAN('MGCs each plate'!AA10:AC10)</f>
        <v>0.1220703125</v>
      </c>
      <c r="L10" s="61">
        <f ca="1">MEDIAN('MGCs each plate'!AD10:AF10)</f>
        <v>0.9765625</v>
      </c>
      <c r="M10" s="61">
        <f ca="1">MEDIAN('MGCs each plate'!AG10:AI10)</f>
        <v>0.48828125</v>
      </c>
      <c r="N10" s="61">
        <f ca="1">MEDIAN('MGCs each plate'!AJ10:AL10)</f>
        <v>1.953125</v>
      </c>
      <c r="O10" s="61">
        <f ca="1">MEDIAN('MGCs each plate'!AM10:AO10)</f>
        <v>2.9296875</v>
      </c>
      <c r="P10" s="61">
        <f ca="1">MEDIAN('MGCs each plate'!AP10:AR10)</f>
        <v>0.732421875</v>
      </c>
      <c r="Q10" s="61">
        <f ca="1">MEDIAN('MGCs each plate'!AS10:AU10)</f>
        <v>1.46484375</v>
      </c>
      <c r="R10" s="61">
        <f ca="1">MEDIAN('MGCs each plate'!AV10:AX10)</f>
        <v>1.46484375</v>
      </c>
      <c r="S10" s="61">
        <f ca="1">MEDIAN('MGCs each plate'!AY10:BA10)</f>
        <v>1.46484375</v>
      </c>
      <c r="T10" s="61">
        <f ca="1">MEDIAN('MGCs each plate'!BB10:BD10)</f>
        <v>1.46484375</v>
      </c>
      <c r="U10" s="61">
        <f ca="1">MEDIAN('MGCs each plate'!BE10:BG10)</f>
        <v>0.732421875</v>
      </c>
      <c r="V10" s="61">
        <f ca="1">MEDIAN('MGCs each plate'!BH10:BJ10)</f>
        <v>0.48828125</v>
      </c>
      <c r="W10" s="61">
        <f ca="1">MEDIAN('MGCs each plate'!BK10:BM10)</f>
        <v>0.9765625</v>
      </c>
    </row>
    <row r="11" spans="2:23" x14ac:dyDescent="0.2">
      <c r="B11" s="10" t="s">
        <v>8</v>
      </c>
      <c r="C11" s="61">
        <v>1000</v>
      </c>
      <c r="D11" s="61">
        <v>1000</v>
      </c>
      <c r="E11" s="61">
        <f ca="1">MEDIAN('MGCs each plate'!I11:K11)</f>
        <v>125</v>
      </c>
      <c r="F11" s="61">
        <f ca="1">MEDIAN('MGCs each plate'!L11:N11)</f>
        <v>93.75</v>
      </c>
      <c r="G11" s="61">
        <v>62.5</v>
      </c>
      <c r="H11" s="61">
        <f ca="1">MEDIAN('MGCs each plate'!R11:T11)</f>
        <v>35.15625</v>
      </c>
      <c r="I11" s="61">
        <f ca="1">MEDIAN('MGCs each plate'!U11:W11)</f>
        <v>23.4375</v>
      </c>
      <c r="J11" s="61">
        <f ca="1">MEDIAN('MGCs each plate'!X11:Z11)</f>
        <v>23.4375</v>
      </c>
      <c r="K11" s="61">
        <f ca="1">MEDIAN('MGCs each plate'!AA11:AC11)</f>
        <v>23.4375</v>
      </c>
      <c r="L11" s="61">
        <f ca="1">MEDIAN('MGCs each plate'!AD11:AF11)</f>
        <v>15.625</v>
      </c>
      <c r="M11" s="61">
        <f ca="1">MEDIAN('MGCs each plate'!AG11:AI11)</f>
        <v>11.71875</v>
      </c>
      <c r="N11" s="61">
        <f ca="1">MEDIAN('MGCs each plate'!AJ11:AL11)</f>
        <v>5.859375</v>
      </c>
      <c r="O11" s="61">
        <f ca="1">MEDIAN('MGCs each plate'!AM11:AO11)</f>
        <v>5.859375</v>
      </c>
      <c r="P11" s="61">
        <f ca="1">MEDIAN('MGCs each plate'!AP11:AR11)</f>
        <v>5.859375</v>
      </c>
      <c r="Q11" s="61">
        <f ca="1">MEDIAN('MGCs each plate'!AS11:AU11)</f>
        <v>5.859375</v>
      </c>
      <c r="R11" s="61">
        <f ca="1">MEDIAN('MGCs each plate'!AV11:AX11)</f>
        <v>3.90625</v>
      </c>
      <c r="S11" s="61">
        <f ca="1">MEDIAN('MGCs each plate'!AY11:BA11)</f>
        <v>3.90625</v>
      </c>
      <c r="T11" s="61">
        <f ca="1">MEDIAN('MGCs each plate'!BB11:BD11)</f>
        <v>3.90625</v>
      </c>
      <c r="U11" s="61">
        <f ca="1">MEDIAN('MGCs each plate'!BE11:BG11)</f>
        <v>2.9296875</v>
      </c>
      <c r="V11" s="61">
        <f ca="1">MEDIAN('MGCs each plate'!BH11:BJ11)</f>
        <v>1.953125</v>
      </c>
      <c r="W11" s="61">
        <v>0.30349999999999999</v>
      </c>
    </row>
    <row r="12" spans="2:23" x14ac:dyDescent="0.2">
      <c r="B12" s="11" t="s">
        <v>9</v>
      </c>
      <c r="C12" s="62">
        <f ca="1">MEDIAN('MGCs each plate'!C12:E12)</f>
        <v>0.78125</v>
      </c>
      <c r="D12" s="61">
        <f ca="1">MEDIAN('MGCs each plate'!F12:H12)</f>
        <v>0.78125</v>
      </c>
      <c r="E12" s="61">
        <f ca="1">MEDIAN('MGCs each plate'!I12:K12)</f>
        <v>0.78125</v>
      </c>
      <c r="F12" s="61">
        <f ca="1">MEDIAN('MGCs each plate'!L12:N12)</f>
        <v>0.390625</v>
      </c>
      <c r="G12" s="61">
        <f ca="1">MEDIAN('MGCs each plate'!O12:Q12)</f>
        <v>0.78125</v>
      </c>
      <c r="H12" s="61">
        <f ca="1">MEDIAN('MGCs each plate'!R12:T12)</f>
        <v>1.5625</v>
      </c>
      <c r="I12" s="61">
        <f ca="1">MEDIAN('MGCs each plate'!U12:W12)</f>
        <v>0.78125</v>
      </c>
      <c r="J12" s="61">
        <f ca="1">MEDIAN('MGCs each plate'!X12:Z12)</f>
        <v>1.5625</v>
      </c>
      <c r="K12" s="61">
        <f ca="1">MEDIAN('MGCs each plate'!AA12:AC12)</f>
        <v>1.5625</v>
      </c>
      <c r="L12" s="61">
        <f ca="1">MEDIAN('MGCs each plate'!AD12:AF12)</f>
        <v>0.78125</v>
      </c>
      <c r="M12" s="61">
        <f ca="1">MEDIAN('MGCs each plate'!AG12:AI12)</f>
        <v>1.5625</v>
      </c>
      <c r="N12" s="61">
        <f ca="1">MEDIAN('MGCs each plate'!AJ12:AL12)</f>
        <v>0.78125</v>
      </c>
      <c r="O12" s="61">
        <f ca="1">MEDIAN('MGCs each plate'!AM12:AO12)</f>
        <v>0.78125</v>
      </c>
      <c r="P12" s="61">
        <f ca="1">MEDIAN('MGCs each plate'!AP12:AR12)</f>
        <v>1.5625</v>
      </c>
      <c r="Q12" s="61">
        <f ca="1">MEDIAN('MGCs each plate'!AS12:AU12)</f>
        <v>0.78125</v>
      </c>
      <c r="R12" s="61">
        <f ca="1">MEDIAN('MGCs each plate'!AV12:AX12)</f>
        <v>1.5625</v>
      </c>
      <c r="S12" s="61">
        <f ca="1">MEDIAN('MGCs each plate'!AY12:BA12)</f>
        <v>0.78125</v>
      </c>
      <c r="T12" s="61">
        <f ca="1">MEDIAN('MGCs each plate'!BB12:BD12)</f>
        <v>0.78125</v>
      </c>
      <c r="U12" s="61">
        <f ca="1">MEDIAN('MGCs each plate'!BE12:BG12)</f>
        <v>0.78125</v>
      </c>
      <c r="V12" s="61">
        <f ca="1">MEDIAN('MGCs each plate'!BH12:BJ12)</f>
        <v>0.78125</v>
      </c>
      <c r="W12" s="61">
        <f ca="1">MEDIAN('MGCs each plate'!BK12:BM12)</f>
        <v>1.5625</v>
      </c>
    </row>
    <row r="13" spans="2:23" x14ac:dyDescent="0.2">
      <c r="B13" s="52" t="s">
        <v>10</v>
      </c>
      <c r="C13" s="61">
        <f ca="1">MEDIAN('MGCs each plate'!C13:E13)</f>
        <v>11.71875</v>
      </c>
      <c r="D13" s="61">
        <f ca="1">MEDIAN('MGCs each plate'!F13:H13)</f>
        <v>15.625</v>
      </c>
      <c r="E13" s="61">
        <f ca="1">MEDIAN('MGCs each plate'!I13:K13)</f>
        <v>31.25</v>
      </c>
      <c r="F13" s="61">
        <f ca="1">MEDIAN('MGCs each plate'!L13:N13)</f>
        <v>11.71875</v>
      </c>
      <c r="G13" s="61">
        <f ca="1">MEDIAN('MGCs each plate'!O13:Q13)</f>
        <v>31.25</v>
      </c>
      <c r="H13" s="61">
        <f ca="1">MEDIAN('MGCs each plate'!R13:T13)</f>
        <v>15.625</v>
      </c>
      <c r="I13" s="61">
        <f ca="1">MEDIAN('MGCs each plate'!U13:W13)</f>
        <v>15.625</v>
      </c>
      <c r="J13" s="61">
        <f ca="1">MEDIAN('MGCs each plate'!X13:Z13)</f>
        <v>15.625</v>
      </c>
      <c r="K13" s="61">
        <f ca="1">MEDIAN('MGCs each plate'!AA13:AC13)</f>
        <v>15.625</v>
      </c>
      <c r="L13" s="61">
        <f ca="1">MEDIAN('MGCs each plate'!AD13:AF13)</f>
        <v>15.625</v>
      </c>
      <c r="M13" s="61">
        <f ca="1">MEDIAN('MGCs each plate'!AG13:AI13)</f>
        <v>15.625</v>
      </c>
      <c r="N13" s="61">
        <f ca="1">MEDIAN('MGCs each plate'!AJ13:AL13)</f>
        <v>15.625</v>
      </c>
      <c r="O13" s="61">
        <f ca="1">MEDIAN('MGCs each plate'!AM13:AO13)</f>
        <v>31.25</v>
      </c>
      <c r="P13" s="61">
        <f ca="1">MEDIAN('MGCs each plate'!AP13:AR13)</f>
        <v>15.625</v>
      </c>
      <c r="Q13" s="61">
        <f ca="1">MEDIAN('MGCs each plate'!AS13:AU13)</f>
        <v>15.625</v>
      </c>
      <c r="R13" s="61">
        <f ca="1">MEDIAN('MGCs each plate'!AV13:AX13)</f>
        <v>62.5</v>
      </c>
      <c r="S13" s="61">
        <f ca="1">MEDIAN('MGCs each plate'!AY13:BA13)</f>
        <v>15.625</v>
      </c>
      <c r="T13" s="61">
        <f ca="1">MEDIAN('MGCs each plate'!BB13:BD13)</f>
        <v>7.8125</v>
      </c>
      <c r="U13" s="61">
        <f ca="1">MEDIAN('MGCs each plate'!BE13:BG13)</f>
        <v>5.859375</v>
      </c>
      <c r="V13" s="61">
        <f ca="1">MEDIAN('MGCs each plate'!BH13:BJ13)</f>
        <v>15.625</v>
      </c>
      <c r="W13" s="61">
        <f ca="1">MEDIAN('MGCs each plate'!BK13:BM13)</f>
        <v>7.8125</v>
      </c>
    </row>
    <row r="14" spans="2:23" x14ac:dyDescent="0.2">
      <c r="B14" s="48"/>
    </row>
    <row r="18" spans="2:2" x14ac:dyDescent="0.2">
      <c r="B18" t="s">
        <v>49</v>
      </c>
    </row>
    <row r="21" spans="2:2" x14ac:dyDescent="0.2">
      <c r="B21" t="s">
        <v>48</v>
      </c>
    </row>
    <row r="22" spans="2:2" x14ac:dyDescent="0.2">
      <c r="B22" t="s">
        <v>47</v>
      </c>
    </row>
    <row r="25" spans="2:2" x14ac:dyDescent="0.2">
      <c r="B25"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83C20-8B82-1648-9356-417CECF08ACE}">
  <dimension ref="B1:BM17"/>
  <sheetViews>
    <sheetView workbookViewId="0">
      <selection activeCell="B18" sqref="B18"/>
    </sheetView>
  </sheetViews>
  <sheetFormatPr baseColWidth="10" defaultRowHeight="16" x14ac:dyDescent="0.2"/>
  <cols>
    <col min="2" max="2" width="13" bestFit="1" customWidth="1"/>
  </cols>
  <sheetData>
    <row r="1" spans="2:65" x14ac:dyDescent="0.2">
      <c r="B1" t="s">
        <v>41</v>
      </c>
      <c r="C1" s="65" t="s">
        <v>22</v>
      </c>
      <c r="D1" s="65"/>
      <c r="E1" s="65"/>
      <c r="F1" s="65" t="s">
        <v>23</v>
      </c>
      <c r="G1" s="65"/>
      <c r="H1" s="65"/>
      <c r="I1" s="65" t="s">
        <v>24</v>
      </c>
      <c r="J1" s="65"/>
      <c r="K1" s="65"/>
      <c r="L1" s="65" t="s">
        <v>25</v>
      </c>
      <c r="M1" s="65"/>
      <c r="N1" s="65"/>
      <c r="O1" s="65" t="s">
        <v>26</v>
      </c>
      <c r="P1" s="65"/>
      <c r="Q1" s="65"/>
      <c r="R1" s="65" t="s">
        <v>27</v>
      </c>
      <c r="S1" s="65"/>
      <c r="T1" s="65"/>
      <c r="U1" s="65" t="s">
        <v>28</v>
      </c>
      <c r="V1" s="65"/>
      <c r="W1" s="65"/>
      <c r="X1" s="65" t="s">
        <v>29</v>
      </c>
      <c r="Y1" s="65"/>
      <c r="Z1" s="65"/>
      <c r="AA1" s="65" t="s">
        <v>30</v>
      </c>
      <c r="AB1" s="65"/>
      <c r="AC1" s="65"/>
      <c r="AD1" s="65" t="s">
        <v>43</v>
      </c>
      <c r="AE1" s="65"/>
      <c r="AF1" s="65"/>
      <c r="AG1" s="65" t="s">
        <v>44</v>
      </c>
      <c r="AH1" s="65"/>
      <c r="AI1" s="65"/>
      <c r="AJ1" s="65" t="s">
        <v>31</v>
      </c>
      <c r="AK1" s="65"/>
      <c r="AL1" s="65"/>
      <c r="AM1" s="65" t="s">
        <v>32</v>
      </c>
      <c r="AN1" s="65"/>
      <c r="AO1" s="65"/>
      <c r="AP1" s="65" t="s">
        <v>33</v>
      </c>
      <c r="AQ1" s="65"/>
      <c r="AR1" s="65"/>
      <c r="AS1" s="65" t="s">
        <v>34</v>
      </c>
      <c r="AT1" s="65"/>
      <c r="AU1" s="65"/>
      <c r="AV1" s="65" t="s">
        <v>35</v>
      </c>
      <c r="AW1" s="65"/>
      <c r="AX1" s="65"/>
      <c r="AY1" s="65" t="s">
        <v>36</v>
      </c>
      <c r="AZ1" s="65"/>
      <c r="BA1" s="65"/>
      <c r="BB1" s="65" t="s">
        <v>37</v>
      </c>
      <c r="BC1" s="65"/>
      <c r="BD1" s="65"/>
      <c r="BE1" s="65" t="s">
        <v>38</v>
      </c>
      <c r="BF1" s="65"/>
      <c r="BG1" s="65"/>
      <c r="BH1" s="65" t="s">
        <v>39</v>
      </c>
      <c r="BI1" s="65"/>
      <c r="BJ1" s="65"/>
      <c r="BK1" s="65" t="s">
        <v>40</v>
      </c>
      <c r="BL1" s="65"/>
      <c r="BM1" s="65"/>
    </row>
    <row r="2" spans="2:65" x14ac:dyDescent="0.2">
      <c r="B2" t="s">
        <v>42</v>
      </c>
      <c r="C2">
        <v>1</v>
      </c>
      <c r="D2">
        <v>2</v>
      </c>
      <c r="E2">
        <v>3</v>
      </c>
      <c r="F2">
        <v>1</v>
      </c>
      <c r="G2">
        <v>2</v>
      </c>
      <c r="H2">
        <v>3</v>
      </c>
      <c r="I2">
        <v>1</v>
      </c>
      <c r="J2">
        <v>2</v>
      </c>
      <c r="K2">
        <v>3</v>
      </c>
      <c r="L2">
        <v>1</v>
      </c>
      <c r="M2">
        <v>2</v>
      </c>
      <c r="N2">
        <v>3</v>
      </c>
      <c r="O2">
        <v>1</v>
      </c>
      <c r="P2">
        <v>2</v>
      </c>
      <c r="Q2">
        <v>3</v>
      </c>
      <c r="R2">
        <v>1</v>
      </c>
      <c r="S2">
        <v>2</v>
      </c>
      <c r="T2">
        <v>3</v>
      </c>
      <c r="U2">
        <v>1</v>
      </c>
      <c r="V2">
        <v>2</v>
      </c>
      <c r="W2">
        <v>3</v>
      </c>
      <c r="X2">
        <v>1</v>
      </c>
      <c r="Y2">
        <v>2</v>
      </c>
      <c r="Z2">
        <v>3</v>
      </c>
      <c r="AA2">
        <v>1</v>
      </c>
      <c r="AB2">
        <v>2</v>
      </c>
      <c r="AC2">
        <v>3</v>
      </c>
      <c r="AD2">
        <v>1</v>
      </c>
      <c r="AE2">
        <v>2</v>
      </c>
      <c r="AF2">
        <v>3</v>
      </c>
      <c r="AG2">
        <v>1</v>
      </c>
      <c r="AH2">
        <v>2</v>
      </c>
      <c r="AI2">
        <v>3</v>
      </c>
      <c r="AJ2">
        <v>1</v>
      </c>
      <c r="AK2">
        <v>2</v>
      </c>
      <c r="AL2">
        <v>3</v>
      </c>
      <c r="AM2">
        <v>1</v>
      </c>
      <c r="AN2">
        <v>2</v>
      </c>
      <c r="AO2">
        <v>3</v>
      </c>
      <c r="AP2">
        <v>1</v>
      </c>
      <c r="AQ2">
        <v>2</v>
      </c>
      <c r="AR2">
        <v>3</v>
      </c>
      <c r="AS2">
        <v>1</v>
      </c>
      <c r="AT2">
        <v>2</v>
      </c>
      <c r="AU2">
        <v>3</v>
      </c>
      <c r="AV2">
        <v>1</v>
      </c>
      <c r="AW2">
        <v>2</v>
      </c>
      <c r="AX2">
        <v>3</v>
      </c>
      <c r="AY2">
        <v>1</v>
      </c>
      <c r="AZ2">
        <v>2</v>
      </c>
      <c r="BA2">
        <v>3</v>
      </c>
      <c r="BB2">
        <v>1</v>
      </c>
      <c r="BC2">
        <v>2</v>
      </c>
      <c r="BD2">
        <v>3</v>
      </c>
      <c r="BE2">
        <v>1</v>
      </c>
      <c r="BF2">
        <v>2</v>
      </c>
      <c r="BG2">
        <v>3</v>
      </c>
      <c r="BH2">
        <v>1</v>
      </c>
      <c r="BI2">
        <v>2</v>
      </c>
      <c r="BJ2">
        <v>3</v>
      </c>
      <c r="BK2">
        <v>1</v>
      </c>
      <c r="BL2">
        <v>2</v>
      </c>
      <c r="BM2">
        <v>3</v>
      </c>
    </row>
    <row r="3" spans="2:65" x14ac:dyDescent="0.2">
      <c r="B3" s="2" t="s">
        <v>0</v>
      </c>
      <c r="C3" s="61" cm="1">
        <f t="array" aca="1" ref="C3" ca="1">IF(
MOD('Well calls each plate'!C3,1)=0,
INDIRECT("'Plate map key'!"&amp;ADDRESS('Well calls each plate'!C3+5,ROW()+1)),
AVERAGE(
INDIRECT("'Plate map key'!"&amp;ADDRESS(TRUNC('Well calls each plate'!C3)+5,ROW()+1)),
INDIRECT("'Plate map key'!"&amp;ADDRESS(TRUNC('Well calls each plate'!C3)+6,ROW()+1))
)
)</f>
        <v>1.8310546875E-2</v>
      </c>
      <c r="D3" s="61" cm="1">
        <f t="array" aca="1" ref="D3" ca="1">IF(
MOD('Well calls each plate'!D3,1)=0,
INDIRECT("'Plate map key'!"&amp;ADDRESS('Well calls each plate'!D3+5,ROW()+1)),
AVERAGE(
INDIRECT("'Plate map key'!"&amp;ADDRESS(TRUNC('Well calls each plate'!D3)+5,ROW()+1)),
INDIRECT("'Plate map key'!"&amp;ADDRESS(TRUNC('Well calls each plate'!D3)+6,ROW()+1))
)
)</f>
        <v>1.8310546875E-2</v>
      </c>
      <c r="E3" s="61" cm="1">
        <f t="array" aca="1" ref="E3" ca="1">IF(
MOD('Well calls each plate'!E3,1)=0,
INDIRECT("'Plate map key'!"&amp;ADDRESS('Well calls each plate'!E3+5,ROW()+1)),
AVERAGE(
INDIRECT("'Plate map key'!"&amp;ADDRESS(TRUNC('Well calls each plate'!E3)+5,ROW()+1)),
INDIRECT("'Plate map key'!"&amp;ADDRESS(TRUNC('Well calls each plate'!E3)+6,ROW()+1))
)
)</f>
        <v>1.8310546875E-2</v>
      </c>
      <c r="F3" s="61" cm="1">
        <f t="array" aca="1" ref="F3" ca="1">IF(
MOD('Well calls each plate'!F3,1)=0,
INDIRECT("'Plate map key'!"&amp;ADDRESS('Well calls each plate'!F3+5,ROW()+1)),
AVERAGE(
INDIRECT("'Plate map key'!"&amp;ADDRESS(TRUNC('Well calls each plate'!F3)+5,ROW()+1)),
INDIRECT("'Plate map key'!"&amp;ADDRESS(TRUNC('Well calls each plate'!F3)+6,ROW()+1))
)
)</f>
        <v>1.8310546875E-2</v>
      </c>
      <c r="G3" s="61" cm="1">
        <f t="array" aca="1" ref="G3" ca="1">IF(
MOD('Well calls each plate'!G3,1)=0,
INDIRECT("'Plate map key'!"&amp;ADDRESS('Well calls each plate'!G3+5,ROW()+1)),
AVERAGE(
INDIRECT("'Plate map key'!"&amp;ADDRESS(TRUNC('Well calls each plate'!G3)+5,ROW()+1)),
INDIRECT("'Plate map key'!"&amp;ADDRESS(TRUNC('Well calls each plate'!G3)+6,ROW()+1))
)
)</f>
        <v>1.220703125E-2</v>
      </c>
      <c r="H3" s="61" cm="1">
        <f t="array" aca="1" ref="H3" ca="1">IF(
MOD('Well calls each plate'!H3,1)=0,
INDIRECT("'Plate map key'!"&amp;ADDRESS('Well calls each plate'!H3+5,ROW()+1)),
AVERAGE(
INDIRECT("'Plate map key'!"&amp;ADDRESS(TRUNC('Well calls each plate'!H3)+5,ROW()+1)),
INDIRECT("'Plate map key'!"&amp;ADDRESS(TRUNC('Well calls each plate'!H3)+6,ROW()+1))
)
)</f>
        <v>9.1552734375E-3</v>
      </c>
      <c r="I3" s="61" cm="1">
        <f t="array" aca="1" ref="I3" ca="1">IF(
MOD('Well calls each plate'!I3,1)=0,
INDIRECT("'Plate map key'!"&amp;ADDRESS('Well calls each plate'!I3+5,ROW()+1)),
AVERAGE(
INDIRECT("'Plate map key'!"&amp;ADDRESS(TRUNC('Well calls each plate'!I3)+5,ROW()+1)),
INDIRECT("'Plate map key'!"&amp;ADDRESS(TRUNC('Well calls each plate'!I3)+6,ROW()+1))
)
)</f>
        <v>6.103515625E-3</v>
      </c>
      <c r="J3" s="61" cm="1">
        <f t="array" aca="1" ref="J3" ca="1">IF(
MOD('Well calls each plate'!J3,1)=0,
INDIRECT("'Plate map key'!"&amp;ADDRESS('Well calls each plate'!J3+5,ROW()+1)),
AVERAGE(
INDIRECT("'Plate map key'!"&amp;ADDRESS(TRUNC('Well calls each plate'!J3)+5,ROW()+1)),
INDIRECT("'Plate map key'!"&amp;ADDRESS(TRUNC('Well calls each plate'!J3)+6,ROW()+1))
)
)</f>
        <v>6.103515625E-3</v>
      </c>
      <c r="K3" s="61" cm="1">
        <f t="array" aca="1" ref="K3" ca="1">IF(
MOD('Well calls each plate'!K3,1)=0,
INDIRECT("'Plate map key'!"&amp;ADDRESS('Well calls each plate'!K3+5,ROW()+1)),
AVERAGE(
INDIRECT("'Plate map key'!"&amp;ADDRESS(TRUNC('Well calls each plate'!K3)+5,ROW()+1)),
INDIRECT("'Plate map key'!"&amp;ADDRESS(TRUNC('Well calls each plate'!K3)+6,ROW()+1))
)
)</f>
        <v>6.103515625E-3</v>
      </c>
      <c r="L3" s="61" cm="1">
        <f t="array" aca="1" ref="L3" ca="1">IF(
MOD('Well calls each plate'!L3,1)=0,
INDIRECT("'Plate map key'!"&amp;ADDRESS('Well calls each plate'!L3+5,ROW()+1)),
AVERAGE(
INDIRECT("'Plate map key'!"&amp;ADDRESS(TRUNC('Well calls each plate'!L3)+5,ROW()+1)),
INDIRECT("'Plate map key'!"&amp;ADDRESS(TRUNC('Well calls each plate'!L3)+6,ROW()+1))
)
)</f>
        <v>3.662109375E-2</v>
      </c>
      <c r="M3" s="61" cm="1">
        <f t="array" aca="1" ref="M3" ca="1">IF(
MOD('Well calls each plate'!M3,1)=0,
INDIRECT("'Plate map key'!"&amp;ADDRESS('Well calls each plate'!M3+5,ROW()+1)),
AVERAGE(
INDIRECT("'Plate map key'!"&amp;ADDRESS(TRUNC('Well calls each plate'!M3)+5,ROW()+1)),
INDIRECT("'Plate map key'!"&amp;ADDRESS(TRUNC('Well calls each plate'!M3)+6,ROW()+1))
)
)</f>
        <v>3.662109375E-2</v>
      </c>
      <c r="N3" s="61" cm="1">
        <f t="array" aca="1" ref="N3" ca="1">IF(
MOD('Well calls each plate'!N3,1)=0,
INDIRECT("'Plate map key'!"&amp;ADDRESS('Well calls each plate'!N3+5,ROW()+1)),
AVERAGE(
INDIRECT("'Plate map key'!"&amp;ADDRESS(TRUNC('Well calls each plate'!N3)+5,ROW()+1)),
INDIRECT("'Plate map key'!"&amp;ADDRESS(TRUNC('Well calls each plate'!N3)+6,ROW()+1))
)
)</f>
        <v>3.662109375E-2</v>
      </c>
      <c r="O3" s="61" cm="1">
        <f t="array" aca="1" ref="O3" ca="1">IF(
MOD('Well calls each plate'!O3,1)=0,
INDIRECT("'Plate map key'!"&amp;ADDRESS('Well calls each plate'!O3+5,ROW()+1)),
AVERAGE(
INDIRECT("'Plate map key'!"&amp;ADDRESS(TRUNC('Well calls each plate'!O3)+5,ROW()+1)),
INDIRECT("'Plate map key'!"&amp;ADDRESS(TRUNC('Well calls each plate'!O3)+6,ROW()+1))
)
)</f>
        <v>2.44140625E-2</v>
      </c>
      <c r="P3" s="61" cm="1">
        <f t="array" aca="1" ref="P3" ca="1">IF(
MOD('Well calls each plate'!P3,1)=0,
INDIRECT("'Plate map key'!"&amp;ADDRESS('Well calls each plate'!P3+5,ROW()+1)),
AVERAGE(
INDIRECT("'Plate map key'!"&amp;ADDRESS(TRUNC('Well calls each plate'!P3)+5,ROW()+1)),
INDIRECT("'Plate map key'!"&amp;ADDRESS(TRUNC('Well calls each plate'!P3)+6,ROW()+1))
)
)</f>
        <v>2.44140625E-2</v>
      </c>
      <c r="Q3" s="61" cm="1">
        <f t="array" aca="1" ref="Q3" ca="1">IF(
MOD('Well calls each plate'!Q3,1)=0,
INDIRECT("'Plate map key'!"&amp;ADDRESS('Well calls each plate'!Q3+5,ROW()+1)),
AVERAGE(
INDIRECT("'Plate map key'!"&amp;ADDRESS(TRUNC('Well calls each plate'!Q3)+5,ROW()+1)),
INDIRECT("'Plate map key'!"&amp;ADDRESS(TRUNC('Well calls each plate'!Q3)+6,ROW()+1))
)
)</f>
        <v>2.44140625E-2</v>
      </c>
      <c r="R3" s="61" cm="1">
        <f t="array" aca="1" ref="R3" ca="1">IF(
MOD('Well calls each plate'!R3,1)=0,
INDIRECT("'Plate map key'!"&amp;ADDRESS('Well calls each plate'!R3+5,ROW()+1)),
AVERAGE(
INDIRECT("'Plate map key'!"&amp;ADDRESS(TRUNC('Well calls each plate'!R3)+5,ROW()+1)),
INDIRECT("'Plate map key'!"&amp;ADDRESS(TRUNC('Well calls each plate'!R3)+6,ROW()+1))
)
)</f>
        <v>1.220703125E-2</v>
      </c>
      <c r="S3" s="61" cm="1">
        <f t="array" aca="1" ref="S3" ca="1">IF(
MOD('Well calls each plate'!S3,1)=0,
INDIRECT("'Plate map key'!"&amp;ADDRESS('Well calls each plate'!S3+5,ROW()+1)),
AVERAGE(
INDIRECT("'Plate map key'!"&amp;ADDRESS(TRUNC('Well calls each plate'!S3)+5,ROW()+1)),
INDIRECT("'Plate map key'!"&amp;ADDRESS(TRUNC('Well calls each plate'!S3)+6,ROW()+1))
)
)</f>
        <v>1.220703125E-2</v>
      </c>
      <c r="T3" s="61" cm="1">
        <f t="array" aca="1" ref="T3" ca="1">IF(
MOD('Well calls each plate'!T3,1)=0,
INDIRECT("'Plate map key'!"&amp;ADDRESS('Well calls each plate'!T3+5,ROW()+1)),
AVERAGE(
INDIRECT("'Plate map key'!"&amp;ADDRESS(TRUNC('Well calls each plate'!T3)+5,ROW()+1)),
INDIRECT("'Plate map key'!"&amp;ADDRESS(TRUNC('Well calls each plate'!T3)+6,ROW()+1))
)
)</f>
        <v>1.220703125E-2</v>
      </c>
      <c r="U3" s="61" cm="1">
        <f t="array" aca="1" ref="U3" ca="1">IF(
MOD('Well calls each plate'!U3,1)=0,
INDIRECT("'Plate map key'!"&amp;ADDRESS('Well calls each plate'!U3+5,ROW()+1)),
AVERAGE(
INDIRECT("'Plate map key'!"&amp;ADDRESS(TRUNC('Well calls each plate'!U3)+5,ROW()+1)),
INDIRECT("'Plate map key'!"&amp;ADDRESS(TRUNC('Well calls each plate'!U3)+6,ROW()+1))
)
)</f>
        <v>1.220703125E-2</v>
      </c>
      <c r="V3" s="61" cm="1">
        <f t="array" aca="1" ref="V3" ca="1">IF(
MOD('Well calls each plate'!V3,1)=0,
INDIRECT("'Plate map key'!"&amp;ADDRESS('Well calls each plate'!V3+5,ROW()+1)),
AVERAGE(
INDIRECT("'Plate map key'!"&amp;ADDRESS(TRUNC('Well calls each plate'!V3)+5,ROW()+1)),
INDIRECT("'Plate map key'!"&amp;ADDRESS(TRUNC('Well calls each plate'!V3)+6,ROW()+1))
)
)</f>
        <v>1.8310546875E-2</v>
      </c>
      <c r="W3" s="61" cm="1">
        <f t="array" aca="1" ref="W3" ca="1">IF(
MOD('Well calls each plate'!W3,1)=0,
INDIRECT("'Plate map key'!"&amp;ADDRESS('Well calls each plate'!W3+5,ROW()+1)),
AVERAGE(
INDIRECT("'Plate map key'!"&amp;ADDRESS(TRUNC('Well calls each plate'!W3)+5,ROW()+1)),
INDIRECT("'Plate map key'!"&amp;ADDRESS(TRUNC('Well calls each plate'!W3)+6,ROW()+1))
)
)</f>
        <v>1.8310546875E-2</v>
      </c>
      <c r="X3" s="61" cm="1">
        <f t="array" aca="1" ref="X3" ca="1">IF(
MOD('Well calls each plate'!X3,1)=0,
INDIRECT("'Plate map key'!"&amp;ADDRESS('Well calls each plate'!X3+5,ROW()+1)),
AVERAGE(
INDIRECT("'Plate map key'!"&amp;ADDRESS(TRUNC('Well calls each plate'!X3)+5,ROW()+1)),
INDIRECT("'Plate map key'!"&amp;ADDRESS(TRUNC('Well calls each plate'!X3)+6,ROW()+1))
)
)</f>
        <v>9.1552734375E-3</v>
      </c>
      <c r="Y3" s="61" cm="1">
        <f t="array" aca="1" ref="Y3" ca="1">IF(
MOD('Well calls each plate'!Y3,1)=0,
INDIRECT("'Plate map key'!"&amp;ADDRESS('Well calls each plate'!Y3+5,ROW()+1)),
AVERAGE(
INDIRECT("'Plate map key'!"&amp;ADDRESS(TRUNC('Well calls each plate'!Y3)+5,ROW()+1)),
INDIRECT("'Plate map key'!"&amp;ADDRESS(TRUNC('Well calls each plate'!Y3)+6,ROW()+1))
)
)</f>
        <v>9.1552734375E-3</v>
      </c>
      <c r="Z3" s="61" cm="1">
        <f t="array" aca="1" ref="Z3" ca="1">IF(
MOD('Well calls each plate'!Z3,1)=0,
INDIRECT("'Plate map key'!"&amp;ADDRESS('Well calls each plate'!Z3+5,ROW()+1)),
AVERAGE(
INDIRECT("'Plate map key'!"&amp;ADDRESS(TRUNC('Well calls each plate'!Z3)+5,ROW()+1)),
INDIRECT("'Plate map key'!"&amp;ADDRESS(TRUNC('Well calls each plate'!Z3)+6,ROW()+1))
)
)</f>
        <v>9.1552734375E-3</v>
      </c>
      <c r="AA3" s="61" cm="1">
        <f t="array" aca="1" ref="AA3" ca="1">IF(
MOD('Well calls each plate'!AA3,1)=0,
INDIRECT("'Plate map key'!"&amp;ADDRESS('Well calls each plate'!AA3+5,ROW()+1)),
AVERAGE(
INDIRECT("'Plate map key'!"&amp;ADDRESS(TRUNC('Well calls each plate'!AA3)+5,ROW()+1)),
INDIRECT("'Plate map key'!"&amp;ADDRESS(TRUNC('Well calls each plate'!AA3)+6,ROW()+1))
)
)</f>
        <v>4.57763671875E-3</v>
      </c>
      <c r="AB3" s="61" cm="1">
        <f t="array" aca="1" ref="AB3" ca="1">IF(
MOD('Well calls each plate'!AB3,1)=0,
INDIRECT("'Plate map key'!"&amp;ADDRESS('Well calls each plate'!AB3+5,ROW()+1)),
AVERAGE(
INDIRECT("'Plate map key'!"&amp;ADDRESS(TRUNC('Well calls each plate'!AB3)+5,ROW()+1)),
INDIRECT("'Plate map key'!"&amp;ADDRESS(TRUNC('Well calls each plate'!AB3)+6,ROW()+1))
)
)</f>
        <v>4.57763671875E-3</v>
      </c>
      <c r="AC3" s="61" cm="1">
        <f t="array" aca="1" ref="AC3" ca="1">IF(
MOD('Well calls each plate'!AC3,1)=0,
INDIRECT("'Plate map key'!"&amp;ADDRESS('Well calls each plate'!AC3+5,ROW()+1)),
AVERAGE(
INDIRECT("'Plate map key'!"&amp;ADDRESS(TRUNC('Well calls each plate'!AC3)+5,ROW()+1)),
INDIRECT("'Plate map key'!"&amp;ADDRESS(TRUNC('Well calls each plate'!AC3)+6,ROW()+1))
)
)</f>
        <v>6.103515625E-3</v>
      </c>
      <c r="AD3" s="61" cm="1">
        <f t="array" aca="1" ref="AD3" ca="1">IF(
MOD('Well calls each plate'!AD3,1)=0,
INDIRECT("'Plate map key'!"&amp;ADDRESS('Well calls each plate'!AD3+5,ROW()+1)),
AVERAGE(
INDIRECT("'Plate map key'!"&amp;ADDRESS(TRUNC('Well calls each plate'!AD3)+5,ROW()+1)),
INDIRECT("'Plate map key'!"&amp;ADDRESS(TRUNC('Well calls each plate'!AD3)+6,ROW()+1))
)
)</f>
        <v>1.220703125E-2</v>
      </c>
      <c r="AE3" s="61" cm="1">
        <f t="array" aca="1" ref="AE3" ca="1">IF(
MOD('Well calls each plate'!AE3,1)=0,
INDIRECT("'Plate map key'!"&amp;ADDRESS('Well calls each plate'!AE3+5,ROW()+1)),
AVERAGE(
INDIRECT("'Plate map key'!"&amp;ADDRESS(TRUNC('Well calls each plate'!AE3)+5,ROW()+1)),
INDIRECT("'Plate map key'!"&amp;ADDRESS(TRUNC('Well calls each plate'!AE3)+6,ROW()+1))
)
)</f>
        <v>6.103515625E-3</v>
      </c>
      <c r="AF3" s="61" cm="1">
        <f t="array" aca="1" ref="AF3" ca="1">IF(
MOD('Well calls each plate'!AF3,1)=0,
INDIRECT("'Plate map key'!"&amp;ADDRESS('Well calls each plate'!AF3+5,ROW()+1)),
AVERAGE(
INDIRECT("'Plate map key'!"&amp;ADDRESS(TRUNC('Well calls each plate'!AF3)+5,ROW()+1)),
INDIRECT("'Plate map key'!"&amp;ADDRESS(TRUNC('Well calls each plate'!AF3)+6,ROW()+1))
)
)</f>
        <v>6.103515625E-3</v>
      </c>
      <c r="AG3" s="61" cm="1">
        <f t="array" aca="1" ref="AG3" ca="1">IF(
MOD('Well calls each plate'!AG3,1)=0,
INDIRECT("'Plate map key'!"&amp;ADDRESS('Well calls each plate'!AG3+5,ROW()+1)),
AVERAGE(
INDIRECT("'Plate map key'!"&amp;ADDRESS(TRUNC('Well calls each plate'!AG3)+5,ROW()+1)),
INDIRECT("'Plate map key'!"&amp;ADDRESS(TRUNC('Well calls each plate'!AG3)+6,ROW()+1))
)
)</f>
        <v>1.220703125E-2</v>
      </c>
      <c r="AH3" s="61" cm="1">
        <f t="array" aca="1" ref="AH3" ca="1">IF(
MOD('Well calls each plate'!AH3,1)=0,
INDIRECT("'Plate map key'!"&amp;ADDRESS('Well calls each plate'!AH3+5,ROW()+1)),
AVERAGE(
INDIRECT("'Plate map key'!"&amp;ADDRESS(TRUNC('Well calls each plate'!AH3)+5,ROW()+1)),
INDIRECT("'Plate map key'!"&amp;ADDRESS(TRUNC('Well calls each plate'!AH3)+6,ROW()+1))
)
)</f>
        <v>1.220703125E-2</v>
      </c>
      <c r="AI3" s="61" cm="1">
        <f t="array" aca="1" ref="AI3" ca="1">IF(
MOD('Well calls each plate'!AI3,1)=0,
INDIRECT("'Plate map key'!"&amp;ADDRESS('Well calls each plate'!AI3+5,ROW()+1)),
AVERAGE(
INDIRECT("'Plate map key'!"&amp;ADDRESS(TRUNC('Well calls each plate'!AI3)+5,ROW()+1)),
INDIRECT("'Plate map key'!"&amp;ADDRESS(TRUNC('Well calls each plate'!AI3)+6,ROW()+1))
)
)</f>
        <v>1.220703125E-2</v>
      </c>
      <c r="AJ3" s="61" cm="1">
        <f t="array" aca="1" ref="AJ3" ca="1">IF(
MOD('Well calls each plate'!AJ3,1)=0,
INDIRECT("'Plate map key'!"&amp;ADDRESS('Well calls each plate'!AJ3+5,ROW()+1)),
AVERAGE(
INDIRECT("'Plate map key'!"&amp;ADDRESS(TRUNC('Well calls each plate'!AJ3)+5,ROW()+1)),
INDIRECT("'Plate map key'!"&amp;ADDRESS(TRUNC('Well calls each plate'!AJ3)+6,ROW()+1))
)
)</f>
        <v>1.8310546875E-2</v>
      </c>
      <c r="AK3" s="61" cm="1">
        <f t="array" aca="1" ref="AK3" ca="1">IF(
MOD('Well calls each plate'!AK3,1)=0,
INDIRECT("'Plate map key'!"&amp;ADDRESS('Well calls each plate'!AK3+5,ROW()+1)),
AVERAGE(
INDIRECT("'Plate map key'!"&amp;ADDRESS(TRUNC('Well calls each plate'!AK3)+5,ROW()+1)),
INDIRECT("'Plate map key'!"&amp;ADDRESS(TRUNC('Well calls each plate'!AK3)+6,ROW()+1))
)
)</f>
        <v>1.8310546875E-2</v>
      </c>
      <c r="AL3" s="61" cm="1">
        <f t="array" aca="1" ref="AL3" ca="1">IF(
MOD('Well calls each plate'!AL3,1)=0,
INDIRECT("'Plate map key'!"&amp;ADDRESS('Well calls each plate'!AL3+5,ROW()+1)),
AVERAGE(
INDIRECT("'Plate map key'!"&amp;ADDRESS(TRUNC('Well calls each plate'!AL3)+5,ROW()+1)),
INDIRECT("'Plate map key'!"&amp;ADDRESS(TRUNC('Well calls each plate'!AL3)+6,ROW()+1))
)
)</f>
        <v>1.8310546875E-2</v>
      </c>
      <c r="AM3" s="61" cm="1">
        <f t="array" aca="1" ref="AM3" ca="1">IF(
MOD('Well calls each plate'!AM3,1)=0,
INDIRECT("'Plate map key'!"&amp;ADDRESS('Well calls each plate'!AM3+5,ROW()+1)),
AVERAGE(
INDIRECT("'Plate map key'!"&amp;ADDRESS(TRUNC('Well calls each plate'!AM3)+5,ROW()+1)),
INDIRECT("'Plate map key'!"&amp;ADDRESS(TRUNC('Well calls each plate'!AM3)+6,ROW()+1))
)
)</f>
        <v>1.8310546875E-2</v>
      </c>
      <c r="AN3" s="61" cm="1">
        <f t="array" aca="1" ref="AN3" ca="1">IF(
MOD('Well calls each plate'!AN3,1)=0,
INDIRECT("'Plate map key'!"&amp;ADDRESS('Well calls each plate'!AN3+5,ROW()+1)),
AVERAGE(
INDIRECT("'Plate map key'!"&amp;ADDRESS(TRUNC('Well calls each plate'!AN3)+5,ROW()+1)),
INDIRECT("'Plate map key'!"&amp;ADDRESS(TRUNC('Well calls each plate'!AN3)+6,ROW()+1))
)
)</f>
        <v>1.8310546875E-2</v>
      </c>
      <c r="AO3" s="61" cm="1">
        <f t="array" aca="1" ref="AO3" ca="1">IF(
MOD('Well calls each plate'!AO3,1)=0,
INDIRECT("'Plate map key'!"&amp;ADDRESS('Well calls each plate'!AO3+5,ROW()+1)),
AVERAGE(
INDIRECT("'Plate map key'!"&amp;ADDRESS(TRUNC('Well calls each plate'!AO3)+5,ROW()+1)),
INDIRECT("'Plate map key'!"&amp;ADDRESS(TRUNC('Well calls each plate'!AO3)+6,ROW()+1))
)
)</f>
        <v>1.220703125E-2</v>
      </c>
      <c r="AP3" s="61" cm="1">
        <f t="array" aca="1" ref="AP3" ca="1">IF(
MOD('Well calls each plate'!AP3,1)=0,
INDIRECT("'Plate map key'!"&amp;ADDRESS('Well calls each plate'!AP3+5,ROW()+1)),
AVERAGE(
INDIRECT("'Plate map key'!"&amp;ADDRESS(TRUNC('Well calls each plate'!AP3)+5,ROW()+1)),
INDIRECT("'Plate map key'!"&amp;ADDRESS(TRUNC('Well calls each plate'!AP3)+6,ROW()+1))
)
)</f>
        <v>9.1552734375E-3</v>
      </c>
      <c r="AQ3" s="61" cm="1">
        <f t="array" aca="1" ref="AQ3" ca="1">IF(
MOD('Well calls each plate'!AQ3,1)=0,
INDIRECT("'Plate map key'!"&amp;ADDRESS('Well calls each plate'!AQ3+5,ROW()+1)),
AVERAGE(
INDIRECT("'Plate map key'!"&amp;ADDRESS(TRUNC('Well calls each plate'!AQ3)+5,ROW()+1)),
INDIRECT("'Plate map key'!"&amp;ADDRESS(TRUNC('Well calls each plate'!AQ3)+6,ROW()+1))
)
)</f>
        <v>9.1552734375E-3</v>
      </c>
      <c r="AR3" s="61" cm="1">
        <f t="array" aca="1" ref="AR3" ca="1">IF(
MOD('Well calls each plate'!AR3,1)=0,
INDIRECT("'Plate map key'!"&amp;ADDRESS('Well calls each plate'!AR3+5,ROW()+1)),
AVERAGE(
INDIRECT("'Plate map key'!"&amp;ADDRESS(TRUNC('Well calls each plate'!AR3)+5,ROW()+1)),
INDIRECT("'Plate map key'!"&amp;ADDRESS(TRUNC('Well calls each plate'!AR3)+6,ROW()+1))
)
)</f>
        <v>9.1552734375E-3</v>
      </c>
      <c r="AS3" s="61" cm="1">
        <f t="array" aca="1" ref="AS3" ca="1">IF(
MOD('Well calls each plate'!AS3,1)=0,
INDIRECT("'Plate map key'!"&amp;ADDRESS('Well calls each plate'!AS3+5,ROW()+1)),
AVERAGE(
INDIRECT("'Plate map key'!"&amp;ADDRESS(TRUNC('Well calls each plate'!AS3)+5,ROW()+1)),
INDIRECT("'Plate map key'!"&amp;ADDRESS(TRUNC('Well calls each plate'!AS3)+6,ROW()+1))
)
)</f>
        <v>1.8310546875E-2</v>
      </c>
      <c r="AT3" s="61" cm="1">
        <f t="array" aca="1" ref="AT3" ca="1">IF(
MOD('Well calls each plate'!AT3,1)=0,
INDIRECT("'Plate map key'!"&amp;ADDRESS('Well calls each plate'!AT3+5,ROW()+1)),
AVERAGE(
INDIRECT("'Plate map key'!"&amp;ADDRESS(TRUNC('Well calls each plate'!AT3)+5,ROW()+1)),
INDIRECT("'Plate map key'!"&amp;ADDRESS(TRUNC('Well calls each plate'!AT3)+6,ROW()+1))
)
)</f>
        <v>1.8310546875E-2</v>
      </c>
      <c r="AU3" s="61" cm="1">
        <f t="array" aca="1" ref="AU3" ca="1">IF(
MOD('Well calls each plate'!AU3,1)=0,
INDIRECT("'Plate map key'!"&amp;ADDRESS('Well calls each plate'!AU3+5,ROW()+1)),
AVERAGE(
INDIRECT("'Plate map key'!"&amp;ADDRESS(TRUNC('Well calls each plate'!AU3)+5,ROW()+1)),
INDIRECT("'Plate map key'!"&amp;ADDRESS(TRUNC('Well calls each plate'!AU3)+6,ROW()+1))
)
)</f>
        <v>1.8310546875E-2</v>
      </c>
      <c r="AV3" s="61" cm="1">
        <f t="array" aca="1" ref="AV3" ca="1">IF(
MOD('Well calls each plate'!AV3,1)=0,
INDIRECT("'Plate map key'!"&amp;ADDRESS('Well calls each plate'!AV3+5,ROW()+1)),
AVERAGE(
INDIRECT("'Plate map key'!"&amp;ADDRESS(TRUNC('Well calls each plate'!AV3)+5,ROW()+1)),
INDIRECT("'Plate map key'!"&amp;ADDRESS(TRUNC('Well calls each plate'!AV3)+6,ROW()+1))
)
)</f>
        <v>6.103515625E-3</v>
      </c>
      <c r="AW3" s="61" cm="1">
        <f t="array" aca="1" ref="AW3" ca="1">IF(
MOD('Well calls each plate'!AW3,1)=0,
INDIRECT("'Plate map key'!"&amp;ADDRESS('Well calls each plate'!AW3+5,ROW()+1)),
AVERAGE(
INDIRECT("'Plate map key'!"&amp;ADDRESS(TRUNC('Well calls each plate'!AW3)+5,ROW()+1)),
INDIRECT("'Plate map key'!"&amp;ADDRESS(TRUNC('Well calls each plate'!AW3)+6,ROW()+1))
)
)</f>
        <v>6.103515625E-3</v>
      </c>
      <c r="AX3" s="61" cm="1">
        <f t="array" aca="1" ref="AX3" ca="1">IF(
MOD('Well calls each plate'!AX3,1)=0,
INDIRECT("'Plate map key'!"&amp;ADDRESS('Well calls each plate'!AX3+5,ROW()+1)),
AVERAGE(
INDIRECT("'Plate map key'!"&amp;ADDRESS(TRUNC('Well calls each plate'!AX3)+5,ROW()+1)),
INDIRECT("'Plate map key'!"&amp;ADDRESS(TRUNC('Well calls each plate'!AX3)+6,ROW()+1))
)
)</f>
        <v>9.1552734375E-3</v>
      </c>
      <c r="AY3" s="61" cm="1">
        <f t="array" aca="1" ref="AY3" ca="1">IF(
MOD('Well calls each plate'!AY3,1)=0,
INDIRECT("'Plate map key'!"&amp;ADDRESS('Well calls each plate'!AY3+5,ROW()+1)),
AVERAGE(
INDIRECT("'Plate map key'!"&amp;ADDRESS(TRUNC('Well calls each plate'!AY3)+5,ROW()+1)),
INDIRECT("'Plate map key'!"&amp;ADDRESS(TRUNC('Well calls each plate'!AY3)+6,ROW()+1))
)
)</f>
        <v>1.8310546875E-2</v>
      </c>
      <c r="AZ3" s="61" cm="1">
        <f t="array" aca="1" ref="AZ3" ca="1">IF(
MOD('Well calls each plate'!AZ3,1)=0,
INDIRECT("'Plate map key'!"&amp;ADDRESS('Well calls each plate'!AZ3+5,ROW()+1)),
AVERAGE(
INDIRECT("'Plate map key'!"&amp;ADDRESS(TRUNC('Well calls each plate'!AZ3)+5,ROW()+1)),
INDIRECT("'Plate map key'!"&amp;ADDRESS(TRUNC('Well calls each plate'!AZ3)+6,ROW()+1))
)
)</f>
        <v>1.8310546875E-2</v>
      </c>
      <c r="BA3" s="61" cm="1">
        <f t="array" aca="1" ref="BA3" ca="1">IF(
MOD('Well calls each plate'!BA3,1)=0,
INDIRECT("'Plate map key'!"&amp;ADDRESS('Well calls each plate'!BA3+5,ROW()+1)),
AVERAGE(
INDIRECT("'Plate map key'!"&amp;ADDRESS(TRUNC('Well calls each plate'!BA3)+5,ROW()+1)),
INDIRECT("'Plate map key'!"&amp;ADDRESS(TRUNC('Well calls each plate'!BA3)+6,ROW()+1))
)
)</f>
        <v>1.8310546875E-2</v>
      </c>
      <c r="BB3" s="61" cm="1">
        <f t="array" aca="1" ref="BB3" ca="1">IF(
MOD('Well calls each plate'!BB3,1)=0,
INDIRECT("'Plate map key'!"&amp;ADDRESS('Well calls each plate'!BB3+5,ROW()+1)),
AVERAGE(
INDIRECT("'Plate map key'!"&amp;ADDRESS(TRUNC('Well calls each plate'!BB3)+5,ROW()+1)),
INDIRECT("'Plate map key'!"&amp;ADDRESS(TRUNC('Well calls each plate'!BB3)+6,ROW()+1))
)
)</f>
        <v>9.1552734375E-3</v>
      </c>
      <c r="BC3" s="61" cm="1">
        <f t="array" aca="1" ref="BC3" ca="1">IF(
MOD('Well calls each plate'!BC3,1)=0,
INDIRECT("'Plate map key'!"&amp;ADDRESS('Well calls each plate'!BC3+5,ROW()+1)),
AVERAGE(
INDIRECT("'Plate map key'!"&amp;ADDRESS(TRUNC('Well calls each plate'!BC3)+5,ROW()+1)),
INDIRECT("'Plate map key'!"&amp;ADDRESS(TRUNC('Well calls each plate'!BC3)+6,ROW()+1))
)
)</f>
        <v>9.1552734375E-3</v>
      </c>
      <c r="BD3" s="61" cm="1">
        <f t="array" aca="1" ref="BD3" ca="1">IF(
MOD('Well calls each plate'!BD3,1)=0,
INDIRECT("'Plate map key'!"&amp;ADDRESS('Well calls each plate'!BD3+5,ROW()+1)),
AVERAGE(
INDIRECT("'Plate map key'!"&amp;ADDRESS(TRUNC('Well calls each plate'!BD3)+5,ROW()+1)),
INDIRECT("'Plate map key'!"&amp;ADDRESS(TRUNC('Well calls each plate'!BD3)+6,ROW()+1))
)
)</f>
        <v>9.1552734375E-3</v>
      </c>
      <c r="BE3" s="61" cm="1">
        <f t="array" aca="1" ref="BE3" ca="1">IF(
MOD('Well calls each plate'!BE3,1)=0,
INDIRECT("'Plate map key'!"&amp;ADDRESS('Well calls each plate'!BE3+5,ROW()+1)),
AVERAGE(
INDIRECT("'Plate map key'!"&amp;ADDRESS(TRUNC('Well calls each plate'!BE3)+5,ROW()+1)),
INDIRECT("'Plate map key'!"&amp;ADDRESS(TRUNC('Well calls each plate'!BE3)+6,ROW()+1))
)
)</f>
        <v>4.57763671875E-3</v>
      </c>
      <c r="BF3" s="61" cm="1">
        <f t="array" aca="1" ref="BF3" ca="1">IF(
MOD('Well calls each plate'!BF3,1)=0,
INDIRECT("'Plate map key'!"&amp;ADDRESS('Well calls each plate'!BF3+5,ROW()+1)),
AVERAGE(
INDIRECT("'Plate map key'!"&amp;ADDRESS(TRUNC('Well calls each plate'!BF3)+5,ROW()+1)),
INDIRECT("'Plate map key'!"&amp;ADDRESS(TRUNC('Well calls each plate'!BF3)+6,ROW()+1))
)
)</f>
        <v>4.57763671875E-3</v>
      </c>
      <c r="BG3" s="61" cm="1">
        <f t="array" aca="1" ref="BG3" ca="1">IF(
MOD('Well calls each plate'!BG3,1)=0,
INDIRECT("'Plate map key'!"&amp;ADDRESS('Well calls each plate'!BG3+5,ROW()+1)),
AVERAGE(
INDIRECT("'Plate map key'!"&amp;ADDRESS(TRUNC('Well calls each plate'!BG3)+5,ROW()+1)),
INDIRECT("'Plate map key'!"&amp;ADDRESS(TRUNC('Well calls each plate'!BG3)+6,ROW()+1))
)
)</f>
        <v>4.57763671875E-3</v>
      </c>
      <c r="BH3" s="61" cm="1">
        <f t="array" aca="1" ref="BH3" ca="1">IF(
MOD('Well calls each plate'!BH3,1)=0,
INDIRECT("'Plate map key'!"&amp;ADDRESS('Well calls each plate'!BH3+5,ROW()+1)),
AVERAGE(
INDIRECT("'Plate map key'!"&amp;ADDRESS(TRUNC('Well calls each plate'!BH3)+5,ROW()+1)),
INDIRECT("'Plate map key'!"&amp;ADDRESS(TRUNC('Well calls each plate'!BH3)+6,ROW()+1))
)
)</f>
        <v>1.220703125E-2</v>
      </c>
      <c r="BI3" s="61" cm="1">
        <f t="array" aca="1" ref="BI3" ca="1">IF(
MOD('Well calls each plate'!BI3,1)=0,
INDIRECT("'Plate map key'!"&amp;ADDRESS('Well calls each plate'!BI3+5,ROW()+1)),
AVERAGE(
INDIRECT("'Plate map key'!"&amp;ADDRESS(TRUNC('Well calls each plate'!BI3)+5,ROW()+1)),
INDIRECT("'Plate map key'!"&amp;ADDRESS(TRUNC('Well calls each plate'!BI3)+6,ROW()+1))
)
)</f>
        <v>1.220703125E-2</v>
      </c>
      <c r="BJ3" s="61" cm="1">
        <f t="array" aca="1" ref="BJ3" ca="1">IF(
MOD('Well calls each plate'!BJ3,1)=0,
INDIRECT("'Plate map key'!"&amp;ADDRESS('Well calls each plate'!BJ3+5,ROW()+1)),
AVERAGE(
INDIRECT("'Plate map key'!"&amp;ADDRESS(TRUNC('Well calls each plate'!BJ3)+5,ROW()+1)),
INDIRECT("'Plate map key'!"&amp;ADDRESS(TRUNC('Well calls each plate'!BJ3)+6,ROW()+1))
)
)</f>
        <v>1.220703125E-2</v>
      </c>
      <c r="BK3" s="61" cm="1">
        <f t="array" aca="1" ref="BK3" ca="1">IF(
MOD('Well calls each plate'!BK3,1)=0,
INDIRECT("'Plate map key'!"&amp;ADDRESS('Well calls each plate'!BK3+5,ROW()+1)),
AVERAGE(
INDIRECT("'Plate map key'!"&amp;ADDRESS(TRUNC('Well calls each plate'!BK3)+5,ROW()+1)),
INDIRECT("'Plate map key'!"&amp;ADDRESS(TRUNC('Well calls each plate'!BK3)+6,ROW()+1))
)
)</f>
        <v>6.103515625E-3</v>
      </c>
      <c r="BL3" s="61" cm="1">
        <f t="array" aca="1" ref="BL3" ca="1">IF(
MOD('Well calls each plate'!BL3,1)=0,
INDIRECT("'Plate map key'!"&amp;ADDRESS('Well calls each plate'!BL3+5,ROW()+1)),
AVERAGE(
INDIRECT("'Plate map key'!"&amp;ADDRESS(TRUNC('Well calls each plate'!BL3)+5,ROW()+1)),
INDIRECT("'Plate map key'!"&amp;ADDRESS(TRUNC('Well calls each plate'!BL3)+6,ROW()+1))
)
)</f>
        <v>9.1552734375E-3</v>
      </c>
      <c r="BM3" s="61" cm="1">
        <f t="array" aca="1" ref="BM3" ca="1">IF(
MOD('Well calls each plate'!BM3,1)=0,
INDIRECT("'Plate map key'!"&amp;ADDRESS('Well calls each plate'!BM3+5,ROW()+1)),
AVERAGE(
INDIRECT("'Plate map key'!"&amp;ADDRESS(TRUNC('Well calls each plate'!BM3)+5,ROW()+1)),
INDIRECT("'Plate map key'!"&amp;ADDRESS(TRUNC('Well calls each plate'!BM3)+6,ROW()+1))
)
)</f>
        <v>9.1552734375E-3</v>
      </c>
    </row>
    <row r="4" spans="2:65" x14ac:dyDescent="0.2">
      <c r="B4" s="3" t="s">
        <v>1</v>
      </c>
      <c r="C4" s="61" cm="1">
        <f t="array" aca="1" ref="C4" ca="1">IF(
MOD('Well calls each plate'!C4,1)=0,
INDIRECT("'Plate map key'!"&amp;ADDRESS('Well calls each plate'!C4+5,ROW()+1)),
AVERAGE(
INDIRECT("'Plate map key'!"&amp;ADDRESS(TRUNC('Well calls each plate'!C4)+5,ROW()+1)),
INDIRECT("'Plate map key'!"&amp;ADDRESS(TRUNC('Well calls each plate'!C4)+6,ROW()+1))
)
)</f>
        <v>0.1953125</v>
      </c>
      <c r="D4" s="61" cm="1">
        <f t="array" aca="1" ref="D4" ca="1">IF(
MOD('Well calls each plate'!D4,1)=0,
INDIRECT("'Plate map key'!"&amp;ADDRESS('Well calls each plate'!D4+5,ROW()+1)),
AVERAGE(
INDIRECT("'Plate map key'!"&amp;ADDRESS(TRUNC('Well calls each plate'!D4)+5,ROW()+1)),
INDIRECT("'Plate map key'!"&amp;ADDRESS(TRUNC('Well calls each plate'!D4)+6,ROW()+1))
)
)</f>
        <v>0.1953125</v>
      </c>
      <c r="E4" s="61" cm="1">
        <f t="array" aca="1" ref="E4" ca="1">IF(
MOD('Well calls each plate'!E4,1)=0,
INDIRECT("'Plate map key'!"&amp;ADDRESS('Well calls each plate'!E4+5,ROW()+1)),
AVERAGE(
INDIRECT("'Plate map key'!"&amp;ADDRESS(TRUNC('Well calls each plate'!E4)+5,ROW()+1)),
INDIRECT("'Plate map key'!"&amp;ADDRESS(TRUNC('Well calls each plate'!E4)+6,ROW()+1))
)
)</f>
        <v>0.1953125</v>
      </c>
      <c r="F4" s="61" cm="1">
        <f t="array" aca="1" ref="F4" ca="1">IF(
MOD('Well calls each plate'!F4,1)=0,
INDIRECT("'Plate map key'!"&amp;ADDRESS('Well calls each plate'!F4+5,ROW()+1)),
AVERAGE(
INDIRECT("'Plate map key'!"&amp;ADDRESS(TRUNC('Well calls each plate'!F4)+5,ROW()+1)),
INDIRECT("'Plate map key'!"&amp;ADDRESS(TRUNC('Well calls each plate'!F4)+6,ROW()+1))
)
)</f>
        <v>7.32421875E-2</v>
      </c>
      <c r="G4" s="61" cm="1">
        <f t="array" aca="1" ref="G4" ca="1">IF(
MOD('Well calls each plate'!G4,1)=0,
INDIRECT("'Plate map key'!"&amp;ADDRESS('Well calls each plate'!G4+5,ROW()+1)),
AVERAGE(
INDIRECT("'Plate map key'!"&amp;ADDRESS(TRUNC('Well calls each plate'!G4)+5,ROW()+1)),
INDIRECT("'Plate map key'!"&amp;ADDRESS(TRUNC('Well calls each plate'!G4)+6,ROW()+1))
)
)</f>
        <v>9.765625E-2</v>
      </c>
      <c r="H4" s="61" cm="1">
        <f t="array" aca="1" ref="H4" ca="1">IF(
MOD('Well calls each plate'!H4,1)=0,
INDIRECT("'Plate map key'!"&amp;ADDRESS('Well calls each plate'!H4+5,ROW()+1)),
AVERAGE(
INDIRECT("'Plate map key'!"&amp;ADDRESS(TRUNC('Well calls each plate'!H4)+5,ROW()+1)),
INDIRECT("'Plate map key'!"&amp;ADDRESS(TRUNC('Well calls each plate'!H4)+6,ROW()+1))
)
)</f>
        <v>7.32421875E-2</v>
      </c>
      <c r="I4" s="61" cm="1">
        <f t="array" aca="1" ref="I4" ca="1">IF(
MOD('Well calls each plate'!I4,1)=0,
INDIRECT("'Plate map key'!"&amp;ADDRESS('Well calls each plate'!I4+5,ROW()+1)),
AVERAGE(
INDIRECT("'Plate map key'!"&amp;ADDRESS(TRUNC('Well calls each plate'!I4)+5,ROW()+1)),
INDIRECT("'Plate map key'!"&amp;ADDRESS(TRUNC('Well calls each plate'!I4)+6,ROW()+1))
)
)</f>
        <v>4.8828125E-2</v>
      </c>
      <c r="J4" s="61" cm="1">
        <f t="array" aca="1" ref="J4" ca="1">IF(
MOD('Well calls each plate'!J4,1)=0,
INDIRECT("'Plate map key'!"&amp;ADDRESS('Well calls each plate'!J4+5,ROW()+1)),
AVERAGE(
INDIRECT("'Plate map key'!"&amp;ADDRESS(TRUNC('Well calls each plate'!J4)+5,ROW()+1)),
INDIRECT("'Plate map key'!"&amp;ADDRESS(TRUNC('Well calls each plate'!J4)+6,ROW()+1))
)
)</f>
        <v>2.44140625E-2</v>
      </c>
      <c r="K4" s="61" cm="1">
        <f t="array" aca="1" ref="K4" ca="1">IF(
MOD('Well calls each plate'!K4,1)=0,
INDIRECT("'Plate map key'!"&amp;ADDRESS('Well calls each plate'!K4+5,ROW()+1)),
AVERAGE(
INDIRECT("'Plate map key'!"&amp;ADDRESS(TRUNC('Well calls each plate'!K4)+5,ROW()+1)),
INDIRECT("'Plate map key'!"&amp;ADDRESS(TRUNC('Well calls each plate'!K4)+6,ROW()+1))
)
)</f>
        <v>4.8828125E-2</v>
      </c>
      <c r="L4" s="61" cm="1">
        <f t="array" aca="1" ref="L4" ca="1">IF(
MOD('Well calls each plate'!L4,1)=0,
INDIRECT("'Plate map key'!"&amp;ADDRESS('Well calls each plate'!L4+5,ROW()+1)),
AVERAGE(
INDIRECT("'Plate map key'!"&amp;ADDRESS(TRUNC('Well calls each plate'!L4)+5,ROW()+1)),
INDIRECT("'Plate map key'!"&amp;ADDRESS(TRUNC('Well calls each plate'!L4)+6,ROW()+1))
)
)</f>
        <v>0.29296875</v>
      </c>
      <c r="M4" s="61" cm="1">
        <f t="array" aca="1" ref="M4" ca="1">IF(
MOD('Well calls each plate'!M4,1)=0,
INDIRECT("'Plate map key'!"&amp;ADDRESS('Well calls each plate'!M4+5,ROW()+1)),
AVERAGE(
INDIRECT("'Plate map key'!"&amp;ADDRESS(TRUNC('Well calls each plate'!M4)+5,ROW()+1)),
INDIRECT("'Plate map key'!"&amp;ADDRESS(TRUNC('Well calls each plate'!M4)+6,ROW()+1))
)
)</f>
        <v>0.29296875</v>
      </c>
      <c r="N4" s="61" cm="1">
        <f t="array" aca="1" ref="N4" ca="1">IF(
MOD('Well calls each plate'!N4,1)=0,
INDIRECT("'Plate map key'!"&amp;ADDRESS('Well calls each plate'!N4+5,ROW()+1)),
AVERAGE(
INDIRECT("'Plate map key'!"&amp;ADDRESS(TRUNC('Well calls each plate'!N4)+5,ROW()+1)),
INDIRECT("'Plate map key'!"&amp;ADDRESS(TRUNC('Well calls each plate'!N4)+6,ROW()+1))
)
)</f>
        <v>0.29296875</v>
      </c>
      <c r="O4" s="61" cm="1">
        <f t="array" aca="1" ref="O4" ca="1">IF(
MOD('Well calls each plate'!O4,1)=0,
INDIRECT("'Plate map key'!"&amp;ADDRESS('Well calls each plate'!O4+5,ROW()+1)),
AVERAGE(
INDIRECT("'Plate map key'!"&amp;ADDRESS(TRUNC('Well calls each plate'!O4)+5,ROW()+1)),
INDIRECT("'Plate map key'!"&amp;ADDRESS(TRUNC('Well calls each plate'!O4)+6,ROW()+1))
)
)</f>
        <v>0.1953125</v>
      </c>
      <c r="P4" s="61" cm="1">
        <f t="array" aca="1" ref="P4" ca="1">IF(
MOD('Well calls each plate'!P4,1)=0,
INDIRECT("'Plate map key'!"&amp;ADDRESS('Well calls each plate'!P4+5,ROW()+1)),
AVERAGE(
INDIRECT("'Plate map key'!"&amp;ADDRESS(TRUNC('Well calls each plate'!P4)+5,ROW()+1)),
INDIRECT("'Plate map key'!"&amp;ADDRESS(TRUNC('Well calls each plate'!P4)+6,ROW()+1))
)
)</f>
        <v>0.1953125</v>
      </c>
      <c r="Q4" s="61" cm="1">
        <f t="array" aca="1" ref="Q4" ca="1">IF(
MOD('Well calls each plate'!Q4,1)=0,
INDIRECT("'Plate map key'!"&amp;ADDRESS('Well calls each plate'!Q4+5,ROW()+1)),
AVERAGE(
INDIRECT("'Plate map key'!"&amp;ADDRESS(TRUNC('Well calls each plate'!Q4)+5,ROW()+1)),
INDIRECT("'Plate map key'!"&amp;ADDRESS(TRUNC('Well calls each plate'!Q4)+6,ROW()+1))
)
)</f>
        <v>0.1953125</v>
      </c>
      <c r="R4" s="61" cm="1">
        <f t="array" aca="1" ref="R4" ca="1">IF(
MOD('Well calls each plate'!R4,1)=0,
INDIRECT("'Plate map key'!"&amp;ADDRESS('Well calls each plate'!R4+5,ROW()+1)),
AVERAGE(
INDIRECT("'Plate map key'!"&amp;ADDRESS(TRUNC('Well calls each plate'!R4)+5,ROW()+1)),
INDIRECT("'Plate map key'!"&amp;ADDRESS(TRUNC('Well calls each plate'!R4)+6,ROW()+1))
)
)</f>
        <v>9.765625E-2</v>
      </c>
      <c r="S4" s="61" cm="1">
        <f t="array" aca="1" ref="S4" ca="1">IF(
MOD('Well calls each plate'!S4,1)=0,
INDIRECT("'Plate map key'!"&amp;ADDRESS('Well calls each plate'!S4+5,ROW()+1)),
AVERAGE(
INDIRECT("'Plate map key'!"&amp;ADDRESS(TRUNC('Well calls each plate'!S4)+5,ROW()+1)),
INDIRECT("'Plate map key'!"&amp;ADDRESS(TRUNC('Well calls each plate'!S4)+6,ROW()+1))
)
)</f>
        <v>9.765625E-2</v>
      </c>
      <c r="T4" s="61" cm="1">
        <f t="array" aca="1" ref="T4" ca="1">IF(
MOD('Well calls each plate'!T4,1)=0,
INDIRECT("'Plate map key'!"&amp;ADDRESS('Well calls each plate'!T4+5,ROW()+1)),
AVERAGE(
INDIRECT("'Plate map key'!"&amp;ADDRESS(TRUNC('Well calls each plate'!T4)+5,ROW()+1)),
INDIRECT("'Plate map key'!"&amp;ADDRESS(TRUNC('Well calls each plate'!T4)+6,ROW()+1))
)
)</f>
        <v>9.765625E-2</v>
      </c>
      <c r="U4" s="61" cm="1">
        <f t="array" aca="1" ref="U4" ca="1">IF(
MOD('Well calls each plate'!U4,1)=0,
INDIRECT("'Plate map key'!"&amp;ADDRESS('Well calls each plate'!U4+5,ROW()+1)),
AVERAGE(
INDIRECT("'Plate map key'!"&amp;ADDRESS(TRUNC('Well calls each plate'!U4)+5,ROW()+1)),
INDIRECT("'Plate map key'!"&amp;ADDRESS(TRUNC('Well calls each plate'!U4)+6,ROW()+1))
)
)</f>
        <v>9.765625E-2</v>
      </c>
      <c r="V4" s="61" cm="1">
        <f t="array" aca="1" ref="V4" ca="1">IF(
MOD('Well calls each plate'!V4,1)=0,
INDIRECT("'Plate map key'!"&amp;ADDRESS('Well calls each plate'!V4+5,ROW()+1)),
AVERAGE(
INDIRECT("'Plate map key'!"&amp;ADDRESS(TRUNC('Well calls each plate'!V4)+5,ROW()+1)),
INDIRECT("'Plate map key'!"&amp;ADDRESS(TRUNC('Well calls each plate'!V4)+6,ROW()+1))
)
)</f>
        <v>9.765625E-2</v>
      </c>
      <c r="W4" s="61" cm="1">
        <f t="array" aca="1" ref="W4" ca="1">IF(
MOD('Well calls each plate'!W4,1)=0,
INDIRECT("'Plate map key'!"&amp;ADDRESS('Well calls each plate'!W4+5,ROW()+1)),
AVERAGE(
INDIRECT("'Plate map key'!"&amp;ADDRESS(TRUNC('Well calls each plate'!W4)+5,ROW()+1)),
INDIRECT("'Plate map key'!"&amp;ADDRESS(TRUNC('Well calls each plate'!W4)+6,ROW()+1))
)
)</f>
        <v>9.765625E-2</v>
      </c>
      <c r="X4" s="61" cm="1">
        <f t="array" aca="1" ref="X4" ca="1">IF(
MOD('Well calls each plate'!X4,1)=0,
INDIRECT("'Plate map key'!"&amp;ADDRESS('Well calls each plate'!X4+5,ROW()+1)),
AVERAGE(
INDIRECT("'Plate map key'!"&amp;ADDRESS(TRUNC('Well calls each plate'!X4)+5,ROW()+1)),
INDIRECT("'Plate map key'!"&amp;ADDRESS(TRUNC('Well calls each plate'!X4)+6,ROW()+1))
)
)</f>
        <v>7.32421875E-2</v>
      </c>
      <c r="Y4" s="61" cm="1">
        <f t="array" aca="1" ref="Y4" ca="1">IF(
MOD('Well calls each plate'!Y4,1)=0,
INDIRECT("'Plate map key'!"&amp;ADDRESS('Well calls each plate'!Y4+5,ROW()+1)),
AVERAGE(
INDIRECT("'Plate map key'!"&amp;ADDRESS(TRUNC('Well calls each plate'!Y4)+5,ROW()+1)),
INDIRECT("'Plate map key'!"&amp;ADDRESS(TRUNC('Well calls each plate'!Y4)+6,ROW()+1))
)
)</f>
        <v>4.8828125E-2</v>
      </c>
      <c r="Z4" s="61" cm="1">
        <f t="array" aca="1" ref="Z4" ca="1">IF(
MOD('Well calls each plate'!Z4,1)=0,
INDIRECT("'Plate map key'!"&amp;ADDRESS('Well calls each plate'!Z4+5,ROW()+1)),
AVERAGE(
INDIRECT("'Plate map key'!"&amp;ADDRESS(TRUNC('Well calls each plate'!Z4)+5,ROW()+1)),
INDIRECT("'Plate map key'!"&amp;ADDRESS(TRUNC('Well calls each plate'!Z4)+6,ROW()+1))
)
)</f>
        <v>4.8828125E-2</v>
      </c>
      <c r="AA4" s="61" cm="1">
        <f t="array" aca="1" ref="AA4" ca="1">IF(
MOD('Well calls each plate'!AA4,1)=0,
INDIRECT("'Plate map key'!"&amp;ADDRESS('Well calls each plate'!AA4+5,ROW()+1)),
AVERAGE(
INDIRECT("'Plate map key'!"&amp;ADDRESS(TRUNC('Well calls each plate'!AA4)+5,ROW()+1)),
INDIRECT("'Plate map key'!"&amp;ADDRESS(TRUNC('Well calls each plate'!AA4)+6,ROW()+1))
)
)</f>
        <v>3.662109375E-2</v>
      </c>
      <c r="AB4" s="61" cm="1">
        <f t="array" aca="1" ref="AB4" ca="1">IF(
MOD('Well calls each plate'!AB4,1)=0,
INDIRECT("'Plate map key'!"&amp;ADDRESS('Well calls each plate'!AB4+5,ROW()+1)),
AVERAGE(
INDIRECT("'Plate map key'!"&amp;ADDRESS(TRUNC('Well calls each plate'!AB4)+5,ROW()+1)),
INDIRECT("'Plate map key'!"&amp;ADDRESS(TRUNC('Well calls each plate'!AB4)+6,ROW()+1))
)
)</f>
        <v>3.662109375E-2</v>
      </c>
      <c r="AC4" s="61" cm="1">
        <f t="array" aca="1" ref="AC4" ca="1">IF(
MOD('Well calls each plate'!AC4,1)=0,
INDIRECT("'Plate map key'!"&amp;ADDRESS('Well calls each plate'!AC4+5,ROW()+1)),
AVERAGE(
INDIRECT("'Plate map key'!"&amp;ADDRESS(TRUNC('Well calls each plate'!AC4)+5,ROW()+1)),
INDIRECT("'Plate map key'!"&amp;ADDRESS(TRUNC('Well calls each plate'!AC4)+6,ROW()+1))
)
)</f>
        <v>3.662109375E-2</v>
      </c>
      <c r="AD4" s="61" cm="1">
        <f t="array" aca="1" ref="AD4" ca="1">IF(
MOD('Well calls each plate'!AD4,1)=0,
INDIRECT("'Plate map key'!"&amp;ADDRESS('Well calls each plate'!AD4+5,ROW()+1)),
AVERAGE(
INDIRECT("'Plate map key'!"&amp;ADDRESS(TRUNC('Well calls each plate'!AD4)+5,ROW()+1)),
INDIRECT("'Plate map key'!"&amp;ADDRESS(TRUNC('Well calls each plate'!AD4)+6,ROW()+1))
)
)</f>
        <v>4.8828125E-2</v>
      </c>
      <c r="AE4" s="61" cm="1">
        <f t="array" aca="1" ref="AE4" ca="1">IF(
MOD('Well calls each plate'!AE4,1)=0,
INDIRECT("'Plate map key'!"&amp;ADDRESS('Well calls each plate'!AE4+5,ROW()+1)),
AVERAGE(
INDIRECT("'Plate map key'!"&amp;ADDRESS(TRUNC('Well calls each plate'!AE4)+5,ROW()+1)),
INDIRECT("'Plate map key'!"&amp;ADDRESS(TRUNC('Well calls each plate'!AE4)+6,ROW()+1))
)
)</f>
        <v>4.8828125E-2</v>
      </c>
      <c r="AF4" s="61" cm="1">
        <f t="array" aca="1" ref="AF4" ca="1">IF(
MOD('Well calls each plate'!AF4,1)=0,
INDIRECT("'Plate map key'!"&amp;ADDRESS('Well calls each plate'!AF4+5,ROW()+1)),
AVERAGE(
INDIRECT("'Plate map key'!"&amp;ADDRESS(TRUNC('Well calls each plate'!AF4)+5,ROW()+1)),
INDIRECT("'Plate map key'!"&amp;ADDRESS(TRUNC('Well calls each plate'!AF4)+6,ROW()+1))
)
)</f>
        <v>4.8828125E-2</v>
      </c>
      <c r="AG4" s="61" cm="1">
        <f t="array" aca="1" ref="AG4" ca="1">IF(
MOD('Well calls each plate'!AG4,1)=0,
INDIRECT("'Plate map key'!"&amp;ADDRESS('Well calls each plate'!AG4+5,ROW()+1)),
AVERAGE(
INDIRECT("'Plate map key'!"&amp;ADDRESS(TRUNC('Well calls each plate'!AG4)+5,ROW()+1)),
INDIRECT("'Plate map key'!"&amp;ADDRESS(TRUNC('Well calls each plate'!AG4)+6,ROW()+1))
)
)</f>
        <v>7.32421875E-2</v>
      </c>
      <c r="AH4" s="61" cm="1">
        <f t="array" aca="1" ref="AH4" ca="1">IF(
MOD('Well calls each plate'!AH4,1)=0,
INDIRECT("'Plate map key'!"&amp;ADDRESS('Well calls each plate'!AH4+5,ROW()+1)),
AVERAGE(
INDIRECT("'Plate map key'!"&amp;ADDRESS(TRUNC('Well calls each plate'!AH4)+5,ROW()+1)),
INDIRECT("'Plate map key'!"&amp;ADDRESS(TRUNC('Well calls each plate'!AH4)+6,ROW()+1))
)
)</f>
        <v>7.32421875E-2</v>
      </c>
      <c r="AI4" s="61" cm="1">
        <f t="array" aca="1" ref="AI4" ca="1">IF(
MOD('Well calls each plate'!AI4,1)=0,
INDIRECT("'Plate map key'!"&amp;ADDRESS('Well calls each plate'!AI4+5,ROW()+1)),
AVERAGE(
INDIRECT("'Plate map key'!"&amp;ADDRESS(TRUNC('Well calls each plate'!AI4)+5,ROW()+1)),
INDIRECT("'Plate map key'!"&amp;ADDRESS(TRUNC('Well calls each plate'!AI4)+6,ROW()+1))
)
)</f>
        <v>9.765625E-2</v>
      </c>
      <c r="AJ4" s="61" cm="1">
        <f t="array" aca="1" ref="AJ4" ca="1">IF(
MOD('Well calls each plate'!AJ4,1)=0,
INDIRECT("'Plate map key'!"&amp;ADDRESS('Well calls each plate'!AJ4+5,ROW()+1)),
AVERAGE(
INDIRECT("'Plate map key'!"&amp;ADDRESS(TRUNC('Well calls each plate'!AJ4)+5,ROW()+1)),
INDIRECT("'Plate map key'!"&amp;ADDRESS(TRUNC('Well calls each plate'!AJ4)+6,ROW()+1))
)
)</f>
        <v>9.765625E-2</v>
      </c>
      <c r="AK4" s="61" cm="1">
        <f t="array" aca="1" ref="AK4" ca="1">IF(
MOD('Well calls each plate'!AK4,1)=0,
INDIRECT("'Plate map key'!"&amp;ADDRESS('Well calls each plate'!AK4+5,ROW()+1)),
AVERAGE(
INDIRECT("'Plate map key'!"&amp;ADDRESS(TRUNC('Well calls each plate'!AK4)+5,ROW()+1)),
INDIRECT("'Plate map key'!"&amp;ADDRESS(TRUNC('Well calls each plate'!AK4)+6,ROW()+1))
)
)</f>
        <v>9.765625E-2</v>
      </c>
      <c r="AL4" s="61" cm="1">
        <f t="array" aca="1" ref="AL4" ca="1">IF(
MOD('Well calls each plate'!AL4,1)=0,
INDIRECT("'Plate map key'!"&amp;ADDRESS('Well calls each plate'!AL4+5,ROW()+1)),
AVERAGE(
INDIRECT("'Plate map key'!"&amp;ADDRESS(TRUNC('Well calls each plate'!AL4)+5,ROW()+1)),
INDIRECT("'Plate map key'!"&amp;ADDRESS(TRUNC('Well calls each plate'!AL4)+6,ROW()+1))
)
)</f>
        <v>9.765625E-2</v>
      </c>
      <c r="AM4" s="61" cm="1">
        <f t="array" aca="1" ref="AM4" ca="1">IF(
MOD('Well calls each plate'!AM4,1)=0,
INDIRECT("'Plate map key'!"&amp;ADDRESS('Well calls each plate'!AM4+5,ROW()+1)),
AVERAGE(
INDIRECT("'Plate map key'!"&amp;ADDRESS(TRUNC('Well calls each plate'!AM4)+5,ROW()+1)),
INDIRECT("'Plate map key'!"&amp;ADDRESS(TRUNC('Well calls each plate'!AM4)+6,ROW()+1))
)
)</f>
        <v>9.765625E-2</v>
      </c>
      <c r="AN4" s="61" cm="1">
        <f t="array" aca="1" ref="AN4" ca="1">IF(
MOD('Well calls each plate'!AN4,1)=0,
INDIRECT("'Plate map key'!"&amp;ADDRESS('Well calls each plate'!AN4+5,ROW()+1)),
AVERAGE(
INDIRECT("'Plate map key'!"&amp;ADDRESS(TRUNC('Well calls each plate'!AN4)+5,ROW()+1)),
INDIRECT("'Plate map key'!"&amp;ADDRESS(TRUNC('Well calls each plate'!AN4)+6,ROW()+1))
)
)</f>
        <v>9.765625E-2</v>
      </c>
      <c r="AO4" s="61" cm="1">
        <f t="array" aca="1" ref="AO4" ca="1">IF(
MOD('Well calls each plate'!AO4,1)=0,
INDIRECT("'Plate map key'!"&amp;ADDRESS('Well calls each plate'!AO4+5,ROW()+1)),
AVERAGE(
INDIRECT("'Plate map key'!"&amp;ADDRESS(TRUNC('Well calls each plate'!AO4)+5,ROW()+1)),
INDIRECT("'Plate map key'!"&amp;ADDRESS(TRUNC('Well calls each plate'!AO4)+6,ROW()+1))
)
)</f>
        <v>9.765625E-2</v>
      </c>
      <c r="AP4" s="61" cm="1">
        <f t="array" aca="1" ref="AP4" ca="1">IF(
MOD('Well calls each plate'!AP4,1)=0,
INDIRECT("'Plate map key'!"&amp;ADDRESS('Well calls each plate'!AP4+5,ROW()+1)),
AVERAGE(
INDIRECT("'Plate map key'!"&amp;ADDRESS(TRUNC('Well calls each plate'!AP4)+5,ROW()+1)),
INDIRECT("'Plate map key'!"&amp;ADDRESS(TRUNC('Well calls each plate'!AP4)+6,ROW()+1))
)
)</f>
        <v>7.32421875E-2</v>
      </c>
      <c r="AQ4" s="61" cm="1">
        <f t="array" aca="1" ref="AQ4" ca="1">IF(
MOD('Well calls each plate'!AQ4,1)=0,
INDIRECT("'Plate map key'!"&amp;ADDRESS('Well calls each plate'!AQ4+5,ROW()+1)),
AVERAGE(
INDIRECT("'Plate map key'!"&amp;ADDRESS(TRUNC('Well calls each plate'!AQ4)+5,ROW()+1)),
INDIRECT("'Plate map key'!"&amp;ADDRESS(TRUNC('Well calls each plate'!AQ4)+6,ROW()+1))
)
)</f>
        <v>4.8828125E-2</v>
      </c>
      <c r="AR4" s="61" cm="1">
        <f t="array" aca="1" ref="AR4" ca="1">IF(
MOD('Well calls each plate'!AR4,1)=0,
INDIRECT("'Plate map key'!"&amp;ADDRESS('Well calls each plate'!AR4+5,ROW()+1)),
AVERAGE(
INDIRECT("'Plate map key'!"&amp;ADDRESS(TRUNC('Well calls each plate'!AR4)+5,ROW()+1)),
INDIRECT("'Plate map key'!"&amp;ADDRESS(TRUNC('Well calls each plate'!AR4)+6,ROW()+1))
)
)</f>
        <v>7.32421875E-2</v>
      </c>
      <c r="AS4" s="61" cm="1">
        <f t="array" aca="1" ref="AS4" ca="1">IF(
MOD('Well calls each plate'!AS4,1)=0,
INDIRECT("'Plate map key'!"&amp;ADDRESS('Well calls each plate'!AS4+5,ROW()+1)),
AVERAGE(
INDIRECT("'Plate map key'!"&amp;ADDRESS(TRUNC('Well calls each plate'!AS4)+5,ROW()+1)),
INDIRECT("'Plate map key'!"&amp;ADDRESS(TRUNC('Well calls each plate'!AS4)+6,ROW()+1))
)
)</f>
        <v>7.32421875E-2</v>
      </c>
      <c r="AT4" s="61" cm="1">
        <f t="array" aca="1" ref="AT4" ca="1">IF(
MOD('Well calls each plate'!AT4,1)=0,
INDIRECT("'Plate map key'!"&amp;ADDRESS('Well calls each plate'!AT4+5,ROW()+1)),
AVERAGE(
INDIRECT("'Plate map key'!"&amp;ADDRESS(TRUNC('Well calls each plate'!AT4)+5,ROW()+1)),
INDIRECT("'Plate map key'!"&amp;ADDRESS(TRUNC('Well calls each plate'!AT4)+6,ROW()+1))
)
)</f>
        <v>7.32421875E-2</v>
      </c>
      <c r="AU4" s="61" cm="1">
        <f t="array" aca="1" ref="AU4" ca="1">IF(
MOD('Well calls each plate'!AU4,1)=0,
INDIRECT("'Plate map key'!"&amp;ADDRESS('Well calls each plate'!AU4+5,ROW()+1)),
AVERAGE(
INDIRECT("'Plate map key'!"&amp;ADDRESS(TRUNC('Well calls each plate'!AU4)+5,ROW()+1)),
INDIRECT("'Plate map key'!"&amp;ADDRESS(TRUNC('Well calls each plate'!AU4)+6,ROW()+1))
)
)</f>
        <v>7.32421875E-2</v>
      </c>
      <c r="AV4" s="61" cm="1">
        <f t="array" aca="1" ref="AV4" ca="1">IF(
MOD('Well calls each plate'!AV4,1)=0,
INDIRECT("'Plate map key'!"&amp;ADDRESS('Well calls each plate'!AV4+5,ROW()+1)),
AVERAGE(
INDIRECT("'Plate map key'!"&amp;ADDRESS(TRUNC('Well calls each plate'!AV4)+5,ROW()+1)),
INDIRECT("'Plate map key'!"&amp;ADDRESS(TRUNC('Well calls each plate'!AV4)+6,ROW()+1))
)
)</f>
        <v>4.8828125E-2</v>
      </c>
      <c r="AW4" s="61" cm="1">
        <f t="array" aca="1" ref="AW4" ca="1">IF(
MOD('Well calls each plate'!AW4,1)=0,
INDIRECT("'Plate map key'!"&amp;ADDRESS('Well calls each plate'!AW4+5,ROW()+1)),
AVERAGE(
INDIRECT("'Plate map key'!"&amp;ADDRESS(TRUNC('Well calls each plate'!AW4)+5,ROW()+1)),
INDIRECT("'Plate map key'!"&amp;ADDRESS(TRUNC('Well calls each plate'!AW4)+6,ROW()+1))
)
)</f>
        <v>4.8828125E-2</v>
      </c>
      <c r="AX4" s="61" cm="1">
        <f t="array" aca="1" ref="AX4" ca="1">IF(
MOD('Well calls each plate'!AX4,1)=0,
INDIRECT("'Plate map key'!"&amp;ADDRESS('Well calls each plate'!AX4+5,ROW()+1)),
AVERAGE(
INDIRECT("'Plate map key'!"&amp;ADDRESS(TRUNC('Well calls each plate'!AX4)+5,ROW()+1)),
INDIRECT("'Plate map key'!"&amp;ADDRESS(TRUNC('Well calls each plate'!AX4)+6,ROW()+1))
)
)</f>
        <v>4.8828125E-2</v>
      </c>
      <c r="AY4" s="61" cm="1">
        <f t="array" aca="1" ref="AY4" ca="1">IF(
MOD('Well calls each plate'!AY4,1)=0,
INDIRECT("'Plate map key'!"&amp;ADDRESS('Well calls each plate'!AY4+5,ROW()+1)),
AVERAGE(
INDIRECT("'Plate map key'!"&amp;ADDRESS(TRUNC('Well calls each plate'!AY4)+5,ROW()+1)),
INDIRECT("'Plate map key'!"&amp;ADDRESS(TRUNC('Well calls each plate'!AY4)+6,ROW()+1))
)
)</f>
        <v>9.765625E-2</v>
      </c>
      <c r="AZ4" s="61" cm="1">
        <f t="array" aca="1" ref="AZ4" ca="1">IF(
MOD('Well calls each plate'!AZ4,1)=0,
INDIRECT("'Plate map key'!"&amp;ADDRESS('Well calls each plate'!AZ4+5,ROW()+1)),
AVERAGE(
INDIRECT("'Plate map key'!"&amp;ADDRESS(TRUNC('Well calls each plate'!AZ4)+5,ROW()+1)),
INDIRECT("'Plate map key'!"&amp;ADDRESS(TRUNC('Well calls each plate'!AZ4)+6,ROW()+1))
)
)</f>
        <v>9.765625E-2</v>
      </c>
      <c r="BA4" s="61" cm="1">
        <f t="array" aca="1" ref="BA4" ca="1">IF(
MOD('Well calls each plate'!BA4,1)=0,
INDIRECT("'Plate map key'!"&amp;ADDRESS('Well calls each plate'!BA4+5,ROW()+1)),
AVERAGE(
INDIRECT("'Plate map key'!"&amp;ADDRESS(TRUNC('Well calls each plate'!BA4)+5,ROW()+1)),
INDIRECT("'Plate map key'!"&amp;ADDRESS(TRUNC('Well calls each plate'!BA4)+6,ROW()+1))
)
)</f>
        <v>9.765625E-2</v>
      </c>
      <c r="BB4" s="61" cm="1">
        <f t="array" aca="1" ref="BB4" ca="1">IF(
MOD('Well calls each plate'!BB4,1)=0,
INDIRECT("'Plate map key'!"&amp;ADDRESS('Well calls each plate'!BB4+5,ROW()+1)),
AVERAGE(
INDIRECT("'Plate map key'!"&amp;ADDRESS(TRUNC('Well calls each plate'!BB4)+5,ROW()+1)),
INDIRECT("'Plate map key'!"&amp;ADDRESS(TRUNC('Well calls each plate'!BB4)+6,ROW()+1))
)
)</f>
        <v>7.32421875E-2</v>
      </c>
      <c r="BC4" s="61" cm="1">
        <f t="array" aca="1" ref="BC4" ca="1">IF(
MOD('Well calls each plate'!BC4,1)=0,
INDIRECT("'Plate map key'!"&amp;ADDRESS('Well calls each plate'!BC4+5,ROW()+1)),
AVERAGE(
INDIRECT("'Plate map key'!"&amp;ADDRESS(TRUNC('Well calls each plate'!BC4)+5,ROW()+1)),
INDIRECT("'Plate map key'!"&amp;ADDRESS(TRUNC('Well calls each plate'!BC4)+6,ROW()+1))
)
)</f>
        <v>7.32421875E-2</v>
      </c>
      <c r="BD4" s="61" cm="1">
        <f t="array" aca="1" ref="BD4" ca="1">IF(
MOD('Well calls each plate'!BD4,1)=0,
INDIRECT("'Plate map key'!"&amp;ADDRESS('Well calls each plate'!BD4+5,ROW()+1)),
AVERAGE(
INDIRECT("'Plate map key'!"&amp;ADDRESS(TRUNC('Well calls each plate'!BD4)+5,ROW()+1)),
INDIRECT("'Plate map key'!"&amp;ADDRESS(TRUNC('Well calls each plate'!BD4)+6,ROW()+1))
)
)</f>
        <v>7.32421875E-2</v>
      </c>
      <c r="BE4" s="61" cm="1">
        <f t="array" aca="1" ref="BE4" ca="1">IF(
MOD('Well calls each plate'!BE4,1)=0,
INDIRECT("'Plate map key'!"&amp;ADDRESS('Well calls each plate'!BE4+5,ROW()+1)),
AVERAGE(
INDIRECT("'Plate map key'!"&amp;ADDRESS(TRUNC('Well calls each plate'!BE4)+5,ROW()+1)),
INDIRECT("'Plate map key'!"&amp;ADDRESS(TRUNC('Well calls each plate'!BE4)+6,ROW()+1))
)
)</f>
        <v>3.662109375E-2</v>
      </c>
      <c r="BF4" s="61" cm="1">
        <f t="array" aca="1" ref="BF4" ca="1">IF(
MOD('Well calls each plate'!BF4,1)=0,
INDIRECT("'Plate map key'!"&amp;ADDRESS('Well calls each plate'!BF4+5,ROW()+1)),
AVERAGE(
INDIRECT("'Plate map key'!"&amp;ADDRESS(TRUNC('Well calls each plate'!BF4)+5,ROW()+1)),
INDIRECT("'Plate map key'!"&amp;ADDRESS(TRUNC('Well calls each plate'!BF4)+6,ROW()+1))
)
)</f>
        <v>3.662109375E-2</v>
      </c>
      <c r="BG4" s="61" cm="1">
        <f t="array" aca="1" ref="BG4" ca="1">IF(
MOD('Well calls each plate'!BG4,1)=0,
INDIRECT("'Plate map key'!"&amp;ADDRESS('Well calls each plate'!BG4+5,ROW()+1)),
AVERAGE(
INDIRECT("'Plate map key'!"&amp;ADDRESS(TRUNC('Well calls each plate'!BG4)+5,ROW()+1)),
INDIRECT("'Plate map key'!"&amp;ADDRESS(TRUNC('Well calls each plate'!BG4)+6,ROW()+1))
)
)</f>
        <v>4.8828125E-2</v>
      </c>
      <c r="BH4" s="61" cm="1">
        <f t="array" aca="1" ref="BH4" ca="1">IF(
MOD('Well calls each plate'!BH4,1)=0,
INDIRECT("'Plate map key'!"&amp;ADDRESS('Well calls each plate'!BH4+5,ROW()+1)),
AVERAGE(
INDIRECT("'Plate map key'!"&amp;ADDRESS(TRUNC('Well calls each plate'!BH4)+5,ROW()+1)),
INDIRECT("'Plate map key'!"&amp;ADDRESS(TRUNC('Well calls each plate'!BH4)+6,ROW()+1))
)
)</f>
        <v>9.765625E-2</v>
      </c>
      <c r="BI4" s="61" cm="1">
        <f t="array" aca="1" ref="BI4" ca="1">IF(
MOD('Well calls each plate'!BI4,1)=0,
INDIRECT("'Plate map key'!"&amp;ADDRESS('Well calls each plate'!BI4+5,ROW()+1)),
AVERAGE(
INDIRECT("'Plate map key'!"&amp;ADDRESS(TRUNC('Well calls each plate'!BI4)+5,ROW()+1)),
INDIRECT("'Plate map key'!"&amp;ADDRESS(TRUNC('Well calls each plate'!BI4)+6,ROW()+1))
)
)</f>
        <v>9.765625E-2</v>
      </c>
      <c r="BJ4" s="61" cm="1">
        <f t="array" aca="1" ref="BJ4" ca="1">IF(
MOD('Well calls each plate'!BJ4,1)=0,
INDIRECT("'Plate map key'!"&amp;ADDRESS('Well calls each plate'!BJ4+5,ROW()+1)),
AVERAGE(
INDIRECT("'Plate map key'!"&amp;ADDRESS(TRUNC('Well calls each plate'!BJ4)+5,ROW()+1)),
INDIRECT("'Plate map key'!"&amp;ADDRESS(TRUNC('Well calls each plate'!BJ4)+6,ROW()+1))
)
)</f>
        <v>9.765625E-2</v>
      </c>
      <c r="BK4" s="61" cm="1">
        <f t="array" aca="1" ref="BK4" ca="1">IF(
MOD('Well calls each plate'!BK4,1)=0,
INDIRECT("'Plate map key'!"&amp;ADDRESS('Well calls each plate'!BK4+5,ROW()+1)),
AVERAGE(
INDIRECT("'Plate map key'!"&amp;ADDRESS(TRUNC('Well calls each plate'!BK4)+5,ROW()+1)),
INDIRECT("'Plate map key'!"&amp;ADDRESS(TRUNC('Well calls each plate'!BK4)+6,ROW()+1))
)
)</f>
        <v>4.8828125E-2</v>
      </c>
      <c r="BL4" s="61" cm="1">
        <f t="array" aca="1" ref="BL4" ca="1">IF(
MOD('Well calls each plate'!BL4,1)=0,
INDIRECT("'Plate map key'!"&amp;ADDRESS('Well calls each plate'!BL4+5,ROW()+1)),
AVERAGE(
INDIRECT("'Plate map key'!"&amp;ADDRESS(TRUNC('Well calls each plate'!BL4)+5,ROW()+1)),
INDIRECT("'Plate map key'!"&amp;ADDRESS(TRUNC('Well calls each plate'!BL4)+6,ROW()+1))
)
)</f>
        <v>4.8828125E-2</v>
      </c>
      <c r="BM4" s="61" cm="1">
        <f t="array" aca="1" ref="BM4" ca="1">IF(
MOD('Well calls each plate'!BM4,1)=0,
INDIRECT("'Plate map key'!"&amp;ADDRESS('Well calls each plate'!BM4+5,ROW()+1)),
AVERAGE(
INDIRECT("'Plate map key'!"&amp;ADDRESS(TRUNC('Well calls each plate'!BM4)+5,ROW()+1)),
INDIRECT("'Plate map key'!"&amp;ADDRESS(TRUNC('Well calls each plate'!BM4)+6,ROW()+1))
)
)</f>
        <v>4.8828125E-2</v>
      </c>
    </row>
    <row r="5" spans="2:65" x14ac:dyDescent="0.2">
      <c r="B5" s="53" t="s">
        <v>2</v>
      </c>
      <c r="C5" s="61" cm="1">
        <f t="array" aca="1" ref="C5" ca="1">IF(
MOD('Well calls each plate'!C5,1)=0,
INDIRECT("'Plate map key'!"&amp;ADDRESS('Well calls each plate'!C5+5,ROW()+1)),
AVERAGE(
INDIRECT("'Plate map key'!"&amp;ADDRESS(TRUNC('Well calls each plate'!C5)+5,ROW()+1)),
INDIRECT("'Plate map key'!"&amp;ADDRESS(TRUNC('Well calls each plate'!C5)+6,ROW()+1))
)
)</f>
        <v>0.390625</v>
      </c>
      <c r="D5" s="61" cm="1">
        <f t="array" aca="1" ref="D5" ca="1">IF(
MOD('Well calls each plate'!D5,1)=0,
INDIRECT("'Plate map key'!"&amp;ADDRESS('Well calls each plate'!D5+5,ROW()+1)),
AVERAGE(
INDIRECT("'Plate map key'!"&amp;ADDRESS(TRUNC('Well calls each plate'!D5)+5,ROW()+1)),
INDIRECT("'Plate map key'!"&amp;ADDRESS(TRUNC('Well calls each plate'!D5)+6,ROW()+1))
)
)</f>
        <v>0.390625</v>
      </c>
      <c r="E5" s="61" cm="1">
        <f t="array" aca="1" ref="E5" ca="1">IF(
MOD('Well calls each plate'!E5,1)=0,
INDIRECT("'Plate map key'!"&amp;ADDRESS('Well calls each plate'!E5+5,ROW()+1)),
AVERAGE(
INDIRECT("'Plate map key'!"&amp;ADDRESS(TRUNC('Well calls each plate'!E5)+5,ROW()+1)),
INDIRECT("'Plate map key'!"&amp;ADDRESS(TRUNC('Well calls each plate'!E5)+6,ROW()+1))
)
)</f>
        <v>0.390625</v>
      </c>
      <c r="F5" s="61" cm="1">
        <f t="array" aca="1" ref="F5" ca="1">IF(
MOD('Well calls each plate'!F5,1)=0,
INDIRECT("'Plate map key'!"&amp;ADDRESS('Well calls each plate'!F5+5,ROW()+1)),
AVERAGE(
INDIRECT("'Plate map key'!"&amp;ADDRESS(TRUNC('Well calls each plate'!F5)+5,ROW()+1)),
INDIRECT("'Plate map key'!"&amp;ADDRESS(TRUNC('Well calls each plate'!F5)+6,ROW()+1))
)
)</f>
        <v>0.146484375</v>
      </c>
      <c r="G5" s="61" cm="1">
        <f t="array" aca="1" ref="G5" ca="1">IF(
MOD('Well calls each plate'!G5,1)=0,
INDIRECT("'Plate map key'!"&amp;ADDRESS('Well calls each plate'!G5+5,ROW()+1)),
AVERAGE(
INDIRECT("'Plate map key'!"&amp;ADDRESS(TRUNC('Well calls each plate'!G5)+5,ROW()+1)),
INDIRECT("'Plate map key'!"&amp;ADDRESS(TRUNC('Well calls each plate'!G5)+6,ROW()+1))
)
)</f>
        <v>0.1953125</v>
      </c>
      <c r="H5" s="61" cm="1">
        <f t="array" aca="1" ref="H5" ca="1">IF(
MOD('Well calls each plate'!H5,1)=0,
INDIRECT("'Plate map key'!"&amp;ADDRESS('Well calls each plate'!H5+5,ROW()+1)),
AVERAGE(
INDIRECT("'Plate map key'!"&amp;ADDRESS(TRUNC('Well calls each plate'!H5)+5,ROW()+1)),
INDIRECT("'Plate map key'!"&amp;ADDRESS(TRUNC('Well calls each plate'!H5)+6,ROW()+1))
)
)</f>
        <v>0.1953125</v>
      </c>
      <c r="I5" s="61" cm="1">
        <f t="array" aca="1" ref="I5" ca="1">IF(
MOD('Well calls each plate'!I5,1)=0,
INDIRECT("'Plate map key'!"&amp;ADDRESS('Well calls each plate'!I5+5,ROW()+1)),
AVERAGE(
INDIRECT("'Plate map key'!"&amp;ADDRESS(TRUNC('Well calls each plate'!I5)+5,ROW()+1)),
INDIRECT("'Plate map key'!"&amp;ADDRESS(TRUNC('Well calls each plate'!I5)+6,ROW()+1))
)
)</f>
        <v>0.1953125</v>
      </c>
      <c r="J5" s="61" cm="1">
        <f t="array" aca="1" ref="J5" ca="1">IF(
MOD('Well calls each plate'!J5,1)=0,
INDIRECT("'Plate map key'!"&amp;ADDRESS('Well calls each plate'!J5+5,ROW()+1)),
AVERAGE(
INDIRECT("'Plate map key'!"&amp;ADDRESS(TRUNC('Well calls each plate'!J5)+5,ROW()+1)),
INDIRECT("'Plate map key'!"&amp;ADDRESS(TRUNC('Well calls each plate'!J5)+6,ROW()+1))
)
)</f>
        <v>0.1953125</v>
      </c>
      <c r="K5" s="61" cm="1">
        <f t="array" aca="1" ref="K5" ca="1">IF(
MOD('Well calls each plate'!K5,1)=0,
INDIRECT("'Plate map key'!"&amp;ADDRESS('Well calls each plate'!K5+5,ROW()+1)),
AVERAGE(
INDIRECT("'Plate map key'!"&amp;ADDRESS(TRUNC('Well calls each plate'!K5)+5,ROW()+1)),
INDIRECT("'Plate map key'!"&amp;ADDRESS(TRUNC('Well calls each plate'!K5)+6,ROW()+1))
)
)</f>
        <v>0.1953125</v>
      </c>
      <c r="L5" s="61" cm="1">
        <f t="array" aca="1" ref="L5" ca="1">IF(
MOD('Well calls each plate'!L5,1)=0,
INDIRECT("'Plate map key'!"&amp;ADDRESS('Well calls each plate'!L5+5,ROW()+1)),
AVERAGE(
INDIRECT("'Plate map key'!"&amp;ADDRESS(TRUNC('Well calls each plate'!L5)+5,ROW()+1)),
INDIRECT("'Plate map key'!"&amp;ADDRESS(TRUNC('Well calls each plate'!L5)+6,ROW()+1))
)
)</f>
        <v>0.29296875</v>
      </c>
      <c r="M5" s="61" cm="1">
        <f t="array" aca="1" ref="M5" ca="1">IF(
MOD('Well calls each plate'!M5,1)=0,
INDIRECT("'Plate map key'!"&amp;ADDRESS('Well calls each plate'!M5+5,ROW()+1)),
AVERAGE(
INDIRECT("'Plate map key'!"&amp;ADDRESS(TRUNC('Well calls each plate'!M5)+5,ROW()+1)),
INDIRECT("'Plate map key'!"&amp;ADDRESS(TRUNC('Well calls each plate'!M5)+6,ROW()+1))
)
)</f>
        <v>0.5859375</v>
      </c>
      <c r="N5" s="61" cm="1">
        <f t="array" aca="1" ref="N5" ca="1">IF(
MOD('Well calls each plate'!N5,1)=0,
INDIRECT("'Plate map key'!"&amp;ADDRESS('Well calls each plate'!N5+5,ROW()+1)),
AVERAGE(
INDIRECT("'Plate map key'!"&amp;ADDRESS(TRUNC('Well calls each plate'!N5)+5,ROW()+1)),
INDIRECT("'Plate map key'!"&amp;ADDRESS(TRUNC('Well calls each plate'!N5)+6,ROW()+1))
)
)</f>
        <v>0.5859375</v>
      </c>
      <c r="O5" s="61" cm="1">
        <f t="array" aca="1" ref="O5" ca="1">IF(
MOD('Well calls each plate'!O5,1)=0,
INDIRECT("'Plate map key'!"&amp;ADDRESS('Well calls each plate'!O5+5,ROW()+1)),
AVERAGE(
INDIRECT("'Plate map key'!"&amp;ADDRESS(TRUNC('Well calls each plate'!O5)+5,ROW()+1)),
INDIRECT("'Plate map key'!"&amp;ADDRESS(TRUNC('Well calls each plate'!O5)+6,ROW()+1))
)
)</f>
        <v>0.390625</v>
      </c>
      <c r="P5" s="61" cm="1">
        <f t="array" aca="1" ref="P5" ca="1">IF(
MOD('Well calls each plate'!P5,1)=0,
INDIRECT("'Plate map key'!"&amp;ADDRESS('Well calls each plate'!P5+5,ROW()+1)),
AVERAGE(
INDIRECT("'Plate map key'!"&amp;ADDRESS(TRUNC('Well calls each plate'!P5)+5,ROW()+1)),
INDIRECT("'Plate map key'!"&amp;ADDRESS(TRUNC('Well calls each plate'!P5)+6,ROW()+1))
)
)</f>
        <v>0.390625</v>
      </c>
      <c r="Q5" s="61" cm="1">
        <f t="array" aca="1" ref="Q5" ca="1">IF(
MOD('Well calls each plate'!Q5,1)=0,
INDIRECT("'Plate map key'!"&amp;ADDRESS('Well calls each plate'!Q5+5,ROW()+1)),
AVERAGE(
INDIRECT("'Plate map key'!"&amp;ADDRESS(TRUNC('Well calls each plate'!Q5)+5,ROW()+1)),
INDIRECT("'Plate map key'!"&amp;ADDRESS(TRUNC('Well calls each plate'!Q5)+6,ROW()+1))
)
)</f>
        <v>0.390625</v>
      </c>
      <c r="R5" s="61" cm="1">
        <f t="array" aca="1" ref="R5" ca="1">IF(
MOD('Well calls each plate'!R5,1)=0,
INDIRECT("'Plate map key'!"&amp;ADDRESS('Well calls each plate'!R5+5,ROW()+1)),
AVERAGE(
INDIRECT("'Plate map key'!"&amp;ADDRESS(TRUNC('Well calls each plate'!R5)+5,ROW()+1)),
INDIRECT("'Plate map key'!"&amp;ADDRESS(TRUNC('Well calls each plate'!R5)+6,ROW()+1))
)
)</f>
        <v>0.1953125</v>
      </c>
      <c r="S5" s="61" cm="1">
        <f t="array" aca="1" ref="S5" ca="1">IF(
MOD('Well calls each plate'!S5,1)=0,
INDIRECT("'Plate map key'!"&amp;ADDRESS('Well calls each plate'!S5+5,ROW()+1)),
AVERAGE(
INDIRECT("'Plate map key'!"&amp;ADDRESS(TRUNC('Well calls each plate'!S5)+5,ROW()+1)),
INDIRECT("'Plate map key'!"&amp;ADDRESS(TRUNC('Well calls each plate'!S5)+6,ROW()+1))
)
)</f>
        <v>9.765625E-2</v>
      </c>
      <c r="T5" s="61" cm="1">
        <f t="array" aca="1" ref="T5" ca="1">IF(
MOD('Well calls each plate'!T5,1)=0,
INDIRECT("'Plate map key'!"&amp;ADDRESS('Well calls each plate'!T5+5,ROW()+1)),
AVERAGE(
INDIRECT("'Plate map key'!"&amp;ADDRESS(TRUNC('Well calls each plate'!T5)+5,ROW()+1)),
INDIRECT("'Plate map key'!"&amp;ADDRESS(TRUNC('Well calls each plate'!T5)+6,ROW()+1))
)
)</f>
        <v>0.146484375</v>
      </c>
      <c r="U5" s="61" cm="1">
        <f t="array" aca="1" ref="U5" ca="1">IF(
MOD('Well calls each plate'!U5,1)=0,
INDIRECT("'Plate map key'!"&amp;ADDRESS('Well calls each plate'!U5+5,ROW()+1)),
AVERAGE(
INDIRECT("'Plate map key'!"&amp;ADDRESS(TRUNC('Well calls each plate'!U5)+5,ROW()+1)),
INDIRECT("'Plate map key'!"&amp;ADDRESS(TRUNC('Well calls each plate'!U5)+6,ROW()+1))
)
)</f>
        <v>0.146484375</v>
      </c>
      <c r="V5" s="61" cm="1">
        <f t="array" aca="1" ref="V5" ca="1">IF(
MOD('Well calls each plate'!V5,1)=0,
INDIRECT("'Plate map key'!"&amp;ADDRESS('Well calls each plate'!V5+5,ROW()+1)),
AVERAGE(
INDIRECT("'Plate map key'!"&amp;ADDRESS(TRUNC('Well calls each plate'!V5)+5,ROW()+1)),
INDIRECT("'Plate map key'!"&amp;ADDRESS(TRUNC('Well calls each plate'!V5)+6,ROW()+1))
)
)</f>
        <v>0.146484375</v>
      </c>
      <c r="W5" s="61" cm="1">
        <f t="array" aca="1" ref="W5" ca="1">IF(
MOD('Well calls each plate'!W5,1)=0,
INDIRECT("'Plate map key'!"&amp;ADDRESS('Well calls each plate'!W5+5,ROW()+1)),
AVERAGE(
INDIRECT("'Plate map key'!"&amp;ADDRESS(TRUNC('Well calls each plate'!W5)+5,ROW()+1)),
INDIRECT("'Plate map key'!"&amp;ADDRESS(TRUNC('Well calls each plate'!W5)+6,ROW()+1))
)
)</f>
        <v>0.146484375</v>
      </c>
      <c r="X5" s="61" cm="1">
        <f t="array" aca="1" ref="X5" ca="1">IF(
MOD('Well calls each plate'!X5,1)=0,
INDIRECT("'Plate map key'!"&amp;ADDRESS('Well calls each plate'!X5+5,ROW()+1)),
AVERAGE(
INDIRECT("'Plate map key'!"&amp;ADDRESS(TRUNC('Well calls each plate'!X5)+5,ROW()+1)),
INDIRECT("'Plate map key'!"&amp;ADDRESS(TRUNC('Well calls each plate'!X5)+6,ROW()+1))
)
)</f>
        <v>0.1953125</v>
      </c>
      <c r="Y5" s="61" cm="1">
        <f t="array" aca="1" ref="Y5" ca="1">IF(
MOD('Well calls each plate'!Y5,1)=0,
INDIRECT("'Plate map key'!"&amp;ADDRESS('Well calls each plate'!Y5+5,ROW()+1)),
AVERAGE(
INDIRECT("'Plate map key'!"&amp;ADDRESS(TRUNC('Well calls each plate'!Y5)+5,ROW()+1)),
INDIRECT("'Plate map key'!"&amp;ADDRESS(TRUNC('Well calls each plate'!Y5)+6,ROW()+1))
)
)</f>
        <v>0.29296875</v>
      </c>
      <c r="Z5" s="61" cm="1">
        <f t="array" aca="1" ref="Z5" ca="1">IF(
MOD('Well calls each plate'!Z5,1)=0,
INDIRECT("'Plate map key'!"&amp;ADDRESS('Well calls each plate'!Z5+5,ROW()+1)),
AVERAGE(
INDIRECT("'Plate map key'!"&amp;ADDRESS(TRUNC('Well calls each plate'!Z5)+5,ROW()+1)),
INDIRECT("'Plate map key'!"&amp;ADDRESS(TRUNC('Well calls each plate'!Z5)+6,ROW()+1))
)
)</f>
        <v>0.1953125</v>
      </c>
      <c r="AA5" s="61" cm="1">
        <f t="array" aca="1" ref="AA5" ca="1">IF(
MOD('Well calls each plate'!AA5,1)=0,
INDIRECT("'Plate map key'!"&amp;ADDRESS('Well calls each plate'!AA5+5,ROW()+1)),
AVERAGE(
INDIRECT("'Plate map key'!"&amp;ADDRESS(TRUNC('Well calls each plate'!AA5)+5,ROW()+1)),
INDIRECT("'Plate map key'!"&amp;ADDRESS(TRUNC('Well calls each plate'!AA5)+6,ROW()+1))
)
)</f>
        <v>0.390625</v>
      </c>
      <c r="AB5" s="61" cm="1">
        <f t="array" aca="1" ref="AB5" ca="1">IF(
MOD('Well calls each plate'!AB5,1)=0,
INDIRECT("'Plate map key'!"&amp;ADDRESS('Well calls each plate'!AB5+5,ROW()+1)),
AVERAGE(
INDIRECT("'Plate map key'!"&amp;ADDRESS(TRUNC('Well calls each plate'!AB5)+5,ROW()+1)),
INDIRECT("'Plate map key'!"&amp;ADDRESS(TRUNC('Well calls each plate'!AB5)+6,ROW()+1))
)
)</f>
        <v>0.29296875</v>
      </c>
      <c r="AC5" s="61" cm="1">
        <f t="array" aca="1" ref="AC5" ca="1">IF(
MOD('Well calls each plate'!AC5,1)=0,
INDIRECT("'Plate map key'!"&amp;ADDRESS('Well calls each plate'!AC5+5,ROW()+1)),
AVERAGE(
INDIRECT("'Plate map key'!"&amp;ADDRESS(TRUNC('Well calls each plate'!AC5)+5,ROW()+1)),
INDIRECT("'Plate map key'!"&amp;ADDRESS(TRUNC('Well calls each plate'!AC5)+6,ROW()+1))
)
)</f>
        <v>0.29296875</v>
      </c>
      <c r="AD5" s="61" cm="1">
        <f t="array" aca="1" ref="AD5" ca="1">IF(
MOD('Well calls each plate'!AD5,1)=0,
INDIRECT("'Plate map key'!"&amp;ADDRESS('Well calls each plate'!AD5+5,ROW()+1)),
AVERAGE(
INDIRECT("'Plate map key'!"&amp;ADDRESS(TRUNC('Well calls each plate'!AD5)+5,ROW()+1)),
INDIRECT("'Plate map key'!"&amp;ADDRESS(TRUNC('Well calls each plate'!AD5)+6,ROW()+1))
)
)</f>
        <v>4.8828125E-2</v>
      </c>
      <c r="AE5" s="61" cm="1">
        <f t="array" aca="1" ref="AE5" ca="1">IF(
MOD('Well calls each plate'!AE5,1)=0,
INDIRECT("'Plate map key'!"&amp;ADDRESS('Well calls each plate'!AE5+5,ROW()+1)),
AVERAGE(
INDIRECT("'Plate map key'!"&amp;ADDRESS(TRUNC('Well calls each plate'!AE5)+5,ROW()+1)),
INDIRECT("'Plate map key'!"&amp;ADDRESS(TRUNC('Well calls each plate'!AE5)+6,ROW()+1))
)
)</f>
        <v>4.8828125E-2</v>
      </c>
      <c r="AF5" s="61" cm="1">
        <f t="array" aca="1" ref="AF5" ca="1">IF(
MOD('Well calls each plate'!AF5,1)=0,
INDIRECT("'Plate map key'!"&amp;ADDRESS('Well calls each plate'!AF5+5,ROW()+1)),
AVERAGE(
INDIRECT("'Plate map key'!"&amp;ADDRESS(TRUNC('Well calls each plate'!AF5)+5,ROW()+1)),
INDIRECT("'Plate map key'!"&amp;ADDRESS(TRUNC('Well calls each plate'!AF5)+6,ROW()+1))
)
)</f>
        <v>4.8828125E-2</v>
      </c>
      <c r="AG5" s="61" cm="1">
        <f t="array" aca="1" ref="AG5" ca="1">IF(
MOD('Well calls each plate'!AG5,1)=0,
INDIRECT("'Plate map key'!"&amp;ADDRESS('Well calls each plate'!AG5+5,ROW()+1)),
AVERAGE(
INDIRECT("'Plate map key'!"&amp;ADDRESS(TRUNC('Well calls each plate'!AG5)+5,ROW()+1)),
INDIRECT("'Plate map key'!"&amp;ADDRESS(TRUNC('Well calls each plate'!AG5)+6,ROW()+1))
)
)</f>
        <v>0.390625</v>
      </c>
      <c r="AH5" s="61" cm="1">
        <f t="array" aca="1" ref="AH5" ca="1">IF(
MOD('Well calls each plate'!AH5,1)=0,
INDIRECT("'Plate map key'!"&amp;ADDRESS('Well calls each plate'!AH5+5,ROW()+1)),
AVERAGE(
INDIRECT("'Plate map key'!"&amp;ADDRESS(TRUNC('Well calls each plate'!AH5)+5,ROW()+1)),
INDIRECT("'Plate map key'!"&amp;ADDRESS(TRUNC('Well calls each plate'!AH5)+6,ROW()+1))
)
)</f>
        <v>0.390625</v>
      </c>
      <c r="AI5" s="61" cm="1">
        <f t="array" aca="1" ref="AI5" ca="1">IF(
MOD('Well calls each plate'!AI5,1)=0,
INDIRECT("'Plate map key'!"&amp;ADDRESS('Well calls each plate'!AI5+5,ROW()+1)),
AVERAGE(
INDIRECT("'Plate map key'!"&amp;ADDRESS(TRUNC('Well calls each plate'!AI5)+5,ROW()+1)),
INDIRECT("'Plate map key'!"&amp;ADDRESS(TRUNC('Well calls each plate'!AI5)+6,ROW()+1))
)
)</f>
        <v>0.390625</v>
      </c>
      <c r="AJ5" s="61" cm="1">
        <f t="array" aca="1" ref="AJ5" ca="1">IF(
MOD('Well calls each plate'!AJ5,1)=0,
INDIRECT("'Plate map key'!"&amp;ADDRESS('Well calls each plate'!AJ5+5,ROW()+1)),
AVERAGE(
INDIRECT("'Plate map key'!"&amp;ADDRESS(TRUNC('Well calls each plate'!AJ5)+5,ROW()+1)),
INDIRECT("'Plate map key'!"&amp;ADDRESS(TRUNC('Well calls each plate'!AJ5)+6,ROW()+1))
)
)</f>
        <v>0.146484375</v>
      </c>
      <c r="AK5" s="61" cm="1">
        <f t="array" aca="1" ref="AK5" ca="1">IF(
MOD('Well calls each plate'!AK5,1)=0,
INDIRECT("'Plate map key'!"&amp;ADDRESS('Well calls each plate'!AK5+5,ROW()+1)),
AVERAGE(
INDIRECT("'Plate map key'!"&amp;ADDRESS(TRUNC('Well calls each plate'!AK5)+5,ROW()+1)),
INDIRECT("'Plate map key'!"&amp;ADDRESS(TRUNC('Well calls each plate'!AK5)+6,ROW()+1))
)
)</f>
        <v>0.146484375</v>
      </c>
      <c r="AL5" s="61" cm="1">
        <f t="array" aca="1" ref="AL5" ca="1">IF(
MOD('Well calls each plate'!AL5,1)=0,
INDIRECT("'Plate map key'!"&amp;ADDRESS('Well calls each plate'!AL5+5,ROW()+1)),
AVERAGE(
INDIRECT("'Plate map key'!"&amp;ADDRESS(TRUNC('Well calls each plate'!AL5)+5,ROW()+1)),
INDIRECT("'Plate map key'!"&amp;ADDRESS(TRUNC('Well calls each plate'!AL5)+6,ROW()+1))
)
)</f>
        <v>9.765625E-2</v>
      </c>
      <c r="AM5" s="61" cm="1">
        <f t="array" aca="1" ref="AM5" ca="1">IF(
MOD('Well calls each plate'!AM5,1)=0,
INDIRECT("'Plate map key'!"&amp;ADDRESS('Well calls each plate'!AM5+5,ROW()+1)),
AVERAGE(
INDIRECT("'Plate map key'!"&amp;ADDRESS(TRUNC('Well calls each plate'!AM5)+5,ROW()+1)),
INDIRECT("'Plate map key'!"&amp;ADDRESS(TRUNC('Well calls each plate'!AM5)+6,ROW()+1))
)
)</f>
        <v>0.146484375</v>
      </c>
      <c r="AN5" s="61" cm="1">
        <f t="array" aca="1" ref="AN5" ca="1">IF(
MOD('Well calls each plate'!AN5,1)=0,
INDIRECT("'Plate map key'!"&amp;ADDRESS('Well calls each plate'!AN5+5,ROW()+1)),
AVERAGE(
INDIRECT("'Plate map key'!"&amp;ADDRESS(TRUNC('Well calls each plate'!AN5)+5,ROW()+1)),
INDIRECT("'Plate map key'!"&amp;ADDRESS(TRUNC('Well calls each plate'!AN5)+6,ROW()+1))
)
)</f>
        <v>0.146484375</v>
      </c>
      <c r="AO5" s="61" cm="1">
        <f t="array" aca="1" ref="AO5" ca="1">IF(
MOD('Well calls each plate'!AO5,1)=0,
INDIRECT("'Plate map key'!"&amp;ADDRESS('Well calls each plate'!AO5+5,ROW()+1)),
AVERAGE(
INDIRECT("'Plate map key'!"&amp;ADDRESS(TRUNC('Well calls each plate'!AO5)+5,ROW()+1)),
INDIRECT("'Plate map key'!"&amp;ADDRESS(TRUNC('Well calls each plate'!AO5)+6,ROW()+1))
)
)</f>
        <v>9.765625E-2</v>
      </c>
      <c r="AP5" s="61" cm="1">
        <f t="array" aca="1" ref="AP5" ca="1">IF(
MOD('Well calls each plate'!AP5,1)=0,
INDIRECT("'Plate map key'!"&amp;ADDRESS('Well calls each plate'!AP5+5,ROW()+1)),
AVERAGE(
INDIRECT("'Plate map key'!"&amp;ADDRESS(TRUNC('Well calls each plate'!AP5)+5,ROW()+1)),
INDIRECT("'Plate map key'!"&amp;ADDRESS(TRUNC('Well calls each plate'!AP5)+6,ROW()+1))
)
)</f>
        <v>7.32421875E-2</v>
      </c>
      <c r="AQ5" s="61" cm="1">
        <f t="array" aca="1" ref="AQ5" ca="1">IF(
MOD('Well calls each plate'!AQ5,1)=0,
INDIRECT("'Plate map key'!"&amp;ADDRESS('Well calls each plate'!AQ5+5,ROW()+1)),
AVERAGE(
INDIRECT("'Plate map key'!"&amp;ADDRESS(TRUNC('Well calls each plate'!AQ5)+5,ROW()+1)),
INDIRECT("'Plate map key'!"&amp;ADDRESS(TRUNC('Well calls each plate'!AQ5)+6,ROW()+1))
)
)</f>
        <v>7.32421875E-2</v>
      </c>
      <c r="AR5" s="61" cm="1">
        <f t="array" aca="1" ref="AR5" ca="1">IF(
MOD('Well calls each plate'!AR5,1)=0,
INDIRECT("'Plate map key'!"&amp;ADDRESS('Well calls each plate'!AR5+5,ROW()+1)),
AVERAGE(
INDIRECT("'Plate map key'!"&amp;ADDRESS(TRUNC('Well calls each plate'!AR5)+5,ROW()+1)),
INDIRECT("'Plate map key'!"&amp;ADDRESS(TRUNC('Well calls each plate'!AR5)+6,ROW()+1))
)
)</f>
        <v>7.32421875E-2</v>
      </c>
      <c r="AS5" s="61" cm="1">
        <f t="array" aca="1" ref="AS5" ca="1">IF(
MOD('Well calls each plate'!AS5,1)=0,
INDIRECT("'Plate map key'!"&amp;ADDRESS('Well calls each plate'!AS5+5,ROW()+1)),
AVERAGE(
INDIRECT("'Plate map key'!"&amp;ADDRESS(TRUNC('Well calls each plate'!AS5)+5,ROW()+1)),
INDIRECT("'Plate map key'!"&amp;ADDRESS(TRUNC('Well calls each plate'!AS5)+6,ROW()+1))
)
)</f>
        <v>7.32421875E-2</v>
      </c>
      <c r="AT5" s="61" cm="1">
        <f t="array" aca="1" ref="AT5" ca="1">IF(
MOD('Well calls each plate'!AT5,1)=0,
INDIRECT("'Plate map key'!"&amp;ADDRESS('Well calls each plate'!AT5+5,ROW()+1)),
AVERAGE(
INDIRECT("'Plate map key'!"&amp;ADDRESS(TRUNC('Well calls each plate'!AT5)+5,ROW()+1)),
INDIRECT("'Plate map key'!"&amp;ADDRESS(TRUNC('Well calls each plate'!AT5)+6,ROW()+1))
)
)</f>
        <v>7.32421875E-2</v>
      </c>
      <c r="AU5" s="61" cm="1">
        <f t="array" aca="1" ref="AU5" ca="1">IF(
MOD('Well calls each plate'!AU5,1)=0,
INDIRECT("'Plate map key'!"&amp;ADDRESS('Well calls each plate'!AU5+5,ROW()+1)),
AVERAGE(
INDIRECT("'Plate map key'!"&amp;ADDRESS(TRUNC('Well calls each plate'!AU5)+5,ROW()+1)),
INDIRECT("'Plate map key'!"&amp;ADDRESS(TRUNC('Well calls each plate'!AU5)+6,ROW()+1))
)
)</f>
        <v>4.8828125E-2</v>
      </c>
      <c r="AV5" s="64">
        <f ca="1">MEDIAN(AW5:AX5)</f>
        <v>0.244140625</v>
      </c>
      <c r="AW5" s="61" cm="1">
        <f t="array" aca="1" ref="AW5" ca="1">IF(
MOD('Well calls each plate'!AW5,1)=0,
INDIRECT("'Plate map key'!"&amp;ADDRESS('Well calls each plate'!AW5+5,ROW()+1)),
AVERAGE(
INDIRECT("'Plate map key'!"&amp;ADDRESS(TRUNC('Well calls each plate'!AW5)+5,ROW()+1)),
INDIRECT("'Plate map key'!"&amp;ADDRESS(TRUNC('Well calls each plate'!AW5)+6,ROW()+1))
)
)</f>
        <v>0.29296875</v>
      </c>
      <c r="AX5" s="61" cm="1">
        <f t="array" aca="1" ref="AX5" ca="1">IF(
MOD('Well calls each plate'!AX5,1)=0,
INDIRECT("'Plate map key'!"&amp;ADDRESS('Well calls each plate'!AX5+5,ROW()+1)),
AVERAGE(
INDIRECT("'Plate map key'!"&amp;ADDRESS(TRUNC('Well calls each plate'!AX5)+5,ROW()+1)),
INDIRECT("'Plate map key'!"&amp;ADDRESS(TRUNC('Well calls each plate'!AX5)+6,ROW()+1))
)
)</f>
        <v>0.1953125</v>
      </c>
      <c r="AY5" s="61" cm="1">
        <f t="array" aca="1" ref="AY5" ca="1">IF(
MOD('Well calls each plate'!AY5,1)=0,
INDIRECT("'Plate map key'!"&amp;ADDRESS('Well calls each plate'!AY5+5,ROW()+1)),
AVERAGE(
INDIRECT("'Plate map key'!"&amp;ADDRESS(TRUNC('Well calls each plate'!AY5)+5,ROW()+1)),
INDIRECT("'Plate map key'!"&amp;ADDRESS(TRUNC('Well calls each plate'!AY5)+6,ROW()+1))
)
)</f>
        <v>0.1953125</v>
      </c>
      <c r="AZ5" s="61" cm="1">
        <f t="array" aca="1" ref="AZ5" ca="1">IF(
MOD('Well calls each plate'!AZ5,1)=0,
INDIRECT("'Plate map key'!"&amp;ADDRESS('Well calls each plate'!AZ5+5,ROW()+1)),
AVERAGE(
INDIRECT("'Plate map key'!"&amp;ADDRESS(TRUNC('Well calls each plate'!AZ5)+5,ROW()+1)),
INDIRECT("'Plate map key'!"&amp;ADDRESS(TRUNC('Well calls each plate'!AZ5)+6,ROW()+1))
)
)</f>
        <v>0.1953125</v>
      </c>
      <c r="BA5" s="61" cm="1">
        <f t="array" aca="1" ref="BA5" ca="1">IF(
MOD('Well calls each plate'!BA5,1)=0,
INDIRECT("'Plate map key'!"&amp;ADDRESS('Well calls each plate'!BA5+5,ROW()+1)),
AVERAGE(
INDIRECT("'Plate map key'!"&amp;ADDRESS(TRUNC('Well calls each plate'!BA5)+5,ROW()+1)),
INDIRECT("'Plate map key'!"&amp;ADDRESS(TRUNC('Well calls each plate'!BA5)+6,ROW()+1))
)
)</f>
        <v>0.1953125</v>
      </c>
      <c r="BB5" s="61" cm="1">
        <f t="array" aca="1" ref="BB5" ca="1">IF(
MOD('Well calls each plate'!BB5,1)=0,
INDIRECT("'Plate map key'!"&amp;ADDRESS('Well calls each plate'!BB5+5,ROW()+1)),
AVERAGE(
INDIRECT("'Plate map key'!"&amp;ADDRESS(TRUNC('Well calls each plate'!BB5)+5,ROW()+1)),
INDIRECT("'Plate map key'!"&amp;ADDRESS(TRUNC('Well calls each plate'!BB5)+6,ROW()+1))
)
)</f>
        <v>7.32421875E-2</v>
      </c>
      <c r="BC5" s="61" cm="1">
        <f t="array" aca="1" ref="BC5" ca="1">IF(
MOD('Well calls each plate'!BC5,1)=0,
INDIRECT("'Plate map key'!"&amp;ADDRESS('Well calls each plate'!BC5+5,ROW()+1)),
AVERAGE(
INDIRECT("'Plate map key'!"&amp;ADDRESS(TRUNC('Well calls each plate'!BC5)+5,ROW()+1)),
INDIRECT("'Plate map key'!"&amp;ADDRESS(TRUNC('Well calls each plate'!BC5)+6,ROW()+1))
)
)</f>
        <v>7.32421875E-2</v>
      </c>
      <c r="BD5" s="61" cm="1">
        <f t="array" aca="1" ref="BD5" ca="1">IF(
MOD('Well calls each plate'!BD5,1)=0,
INDIRECT("'Plate map key'!"&amp;ADDRESS('Well calls each plate'!BD5+5,ROW()+1)),
AVERAGE(
INDIRECT("'Plate map key'!"&amp;ADDRESS(TRUNC('Well calls each plate'!BD5)+5,ROW()+1)),
INDIRECT("'Plate map key'!"&amp;ADDRESS(TRUNC('Well calls each plate'!BD5)+6,ROW()+1))
)
)</f>
        <v>4.8828125E-2</v>
      </c>
      <c r="BE5" s="61" cm="1">
        <f t="array" aca="1" ref="BE5" ca="1">IF(
MOD('Well calls each plate'!BE5,1)=0,
INDIRECT("'Plate map key'!"&amp;ADDRESS('Well calls each plate'!BE5+5,ROW()+1)),
AVERAGE(
INDIRECT("'Plate map key'!"&amp;ADDRESS(TRUNC('Well calls each plate'!BE5)+5,ROW()+1)),
INDIRECT("'Plate map key'!"&amp;ADDRESS(TRUNC('Well calls each plate'!BE5)+6,ROW()+1))
)
)</f>
        <v>4.8828125E-2</v>
      </c>
      <c r="BF5" s="61" cm="1">
        <f t="array" aca="1" ref="BF5" ca="1">IF(
MOD('Well calls each plate'!BF5,1)=0,
INDIRECT("'Plate map key'!"&amp;ADDRESS('Well calls each plate'!BF5+5,ROW()+1)),
AVERAGE(
INDIRECT("'Plate map key'!"&amp;ADDRESS(TRUNC('Well calls each plate'!BF5)+5,ROW()+1)),
INDIRECT("'Plate map key'!"&amp;ADDRESS(TRUNC('Well calls each plate'!BF5)+6,ROW()+1))
)
)</f>
        <v>4.8828125E-2</v>
      </c>
      <c r="BG5" s="61" cm="1">
        <f t="array" aca="1" ref="BG5" ca="1">IF(
MOD('Well calls each plate'!BG5,1)=0,
INDIRECT("'Plate map key'!"&amp;ADDRESS('Well calls each plate'!BG5+5,ROW()+1)),
AVERAGE(
INDIRECT("'Plate map key'!"&amp;ADDRESS(TRUNC('Well calls each plate'!BG5)+5,ROW()+1)),
INDIRECT("'Plate map key'!"&amp;ADDRESS(TRUNC('Well calls each plate'!BG5)+6,ROW()+1))
)
)</f>
        <v>7.32421875E-2</v>
      </c>
      <c r="BH5" s="61" cm="1">
        <f t="array" aca="1" ref="BH5" ca="1">IF(
MOD('Well calls each plate'!BH5,1)=0,
INDIRECT("'Plate map key'!"&amp;ADDRESS('Well calls each plate'!BH5+5,ROW()+1)),
AVERAGE(
INDIRECT("'Plate map key'!"&amp;ADDRESS(TRUNC('Well calls each plate'!BH5)+5,ROW()+1)),
INDIRECT("'Plate map key'!"&amp;ADDRESS(TRUNC('Well calls each plate'!BH5)+6,ROW()+1))
)
)</f>
        <v>0.146484375</v>
      </c>
      <c r="BI5" s="61" cm="1">
        <f t="array" aca="1" ref="BI5" ca="1">IF(
MOD('Well calls each plate'!BI5,1)=0,
INDIRECT("'Plate map key'!"&amp;ADDRESS('Well calls each plate'!BI5+5,ROW()+1)),
AVERAGE(
INDIRECT("'Plate map key'!"&amp;ADDRESS(TRUNC('Well calls each plate'!BI5)+5,ROW()+1)),
INDIRECT("'Plate map key'!"&amp;ADDRESS(TRUNC('Well calls each plate'!BI5)+6,ROW()+1))
)
)</f>
        <v>9.765625E-2</v>
      </c>
      <c r="BJ5" s="61" cm="1">
        <f t="array" aca="1" ref="BJ5" ca="1">IF(
MOD('Well calls each plate'!BJ5,1)=0,
INDIRECT("'Plate map key'!"&amp;ADDRESS('Well calls each plate'!BJ5+5,ROW()+1)),
AVERAGE(
INDIRECT("'Plate map key'!"&amp;ADDRESS(TRUNC('Well calls each plate'!BJ5)+5,ROW()+1)),
INDIRECT("'Plate map key'!"&amp;ADDRESS(TRUNC('Well calls each plate'!BJ5)+6,ROW()+1))
)
)</f>
        <v>0.1953125</v>
      </c>
      <c r="BK5" s="61" cm="1">
        <f t="array" aca="1" ref="BK5" ca="1">IF(
MOD('Well calls each plate'!BK5,1)=0,
INDIRECT("'Plate map key'!"&amp;ADDRESS('Well calls each plate'!BK5+5,ROW()+1)),
AVERAGE(
INDIRECT("'Plate map key'!"&amp;ADDRESS(TRUNC('Well calls each plate'!BK5)+5,ROW()+1)),
INDIRECT("'Plate map key'!"&amp;ADDRESS(TRUNC('Well calls each plate'!BK5)+6,ROW()+1))
)
)</f>
        <v>7.32421875E-2</v>
      </c>
      <c r="BL5" s="61" cm="1">
        <f t="array" aca="1" ref="BL5" ca="1">IF(
MOD('Well calls each plate'!BL5,1)=0,
INDIRECT("'Plate map key'!"&amp;ADDRESS('Well calls each plate'!BL5+5,ROW()+1)),
AVERAGE(
INDIRECT("'Plate map key'!"&amp;ADDRESS(TRUNC('Well calls each plate'!BL5)+5,ROW()+1)),
INDIRECT("'Plate map key'!"&amp;ADDRESS(TRUNC('Well calls each plate'!BL5)+6,ROW()+1))
)
)</f>
        <v>9.765625E-2</v>
      </c>
      <c r="BM5" s="61" cm="1">
        <f t="array" aca="1" ref="BM5" ca="1">IF(
MOD('Well calls each plate'!BM5,1)=0,
INDIRECT("'Plate map key'!"&amp;ADDRESS('Well calls each plate'!BM5+5,ROW()+1)),
AVERAGE(
INDIRECT("'Plate map key'!"&amp;ADDRESS(TRUNC('Well calls each plate'!BM5)+5,ROW()+1)),
INDIRECT("'Plate map key'!"&amp;ADDRESS(TRUNC('Well calls each plate'!BM5)+6,ROW()+1))
)
)</f>
        <v>9.765625E-2</v>
      </c>
    </row>
    <row r="6" spans="2:65" x14ac:dyDescent="0.2">
      <c r="B6" s="54" t="s">
        <v>3</v>
      </c>
      <c r="C6" s="61" cm="1">
        <f t="array" aca="1" ref="C6" ca="1">IF(
MOD('Well calls each plate'!C6,1)=0,
INDIRECT("'Plate map key'!"&amp;ADDRESS('Well calls each plate'!C6+5,ROW()+1)),
AVERAGE(
INDIRECT("'Plate map key'!"&amp;ADDRESS(TRUNC('Well calls each plate'!C6)+5,ROW()+1)),
INDIRECT("'Plate map key'!"&amp;ADDRESS(TRUNC('Well calls each plate'!C6)+6,ROW()+1))
)
)</f>
        <v>0.146484375</v>
      </c>
      <c r="D6" s="61" cm="1">
        <f t="array" aca="1" ref="D6" ca="1">IF(
MOD('Well calls each plate'!D6,1)=0,
INDIRECT("'Plate map key'!"&amp;ADDRESS('Well calls each plate'!D6+5,ROW()+1)),
AVERAGE(
INDIRECT("'Plate map key'!"&amp;ADDRESS(TRUNC('Well calls each plate'!D6)+5,ROW()+1)),
INDIRECT("'Plate map key'!"&amp;ADDRESS(TRUNC('Well calls each plate'!D6)+6,ROW()+1))
)
)</f>
        <v>9.765625E-2</v>
      </c>
      <c r="E6" s="61" cm="1">
        <f t="array" aca="1" ref="E6" ca="1">IF(
MOD('Well calls each plate'!E6,1)=0,
INDIRECT("'Plate map key'!"&amp;ADDRESS('Well calls each plate'!E6+5,ROW()+1)),
AVERAGE(
INDIRECT("'Plate map key'!"&amp;ADDRESS(TRUNC('Well calls each plate'!E6)+5,ROW()+1)),
INDIRECT("'Plate map key'!"&amp;ADDRESS(TRUNC('Well calls each plate'!E6)+6,ROW()+1))
)
)</f>
        <v>9.765625E-2</v>
      </c>
      <c r="F6" s="61" cm="1">
        <f t="array" aca="1" ref="F6" ca="1">IF(
MOD('Well calls each plate'!F6,1)=0,
INDIRECT("'Plate map key'!"&amp;ADDRESS('Well calls each plate'!F6+5,ROW()+1)),
AVERAGE(
INDIRECT("'Plate map key'!"&amp;ADDRESS(TRUNC('Well calls each plate'!F6)+5,ROW()+1)),
INDIRECT("'Plate map key'!"&amp;ADDRESS(TRUNC('Well calls each plate'!F6)+6,ROW()+1))
)
)</f>
        <v>1.8310546875E-2</v>
      </c>
      <c r="G6" s="61" cm="1">
        <f t="array" aca="1" ref="G6" ca="1">IF(
MOD('Well calls each plate'!G6,1)=0,
INDIRECT("'Plate map key'!"&amp;ADDRESS('Well calls each plate'!G6+5,ROW()+1)),
AVERAGE(
INDIRECT("'Plate map key'!"&amp;ADDRESS(TRUNC('Well calls each plate'!G6)+5,ROW()+1)),
INDIRECT("'Plate map key'!"&amp;ADDRESS(TRUNC('Well calls each plate'!G6)+6,ROW()+1))
)
)</f>
        <v>1.8310546875E-2</v>
      </c>
      <c r="H6" s="61" cm="1">
        <f t="array" aca="1" ref="H6" ca="1">IF(
MOD('Well calls each plate'!H6,1)=0,
INDIRECT("'Plate map key'!"&amp;ADDRESS('Well calls each plate'!H6+5,ROW()+1)),
AVERAGE(
INDIRECT("'Plate map key'!"&amp;ADDRESS(TRUNC('Well calls each plate'!H6)+5,ROW()+1)),
INDIRECT("'Plate map key'!"&amp;ADDRESS(TRUNC('Well calls each plate'!H6)+6,ROW()+1))
)
)</f>
        <v>1.8310546875E-2</v>
      </c>
      <c r="I6" s="61" cm="1">
        <f t="array" aca="1" ref="I6" ca="1">IF(
MOD('Well calls each plate'!I6,1)=0,
INDIRECT("'Plate map key'!"&amp;ADDRESS('Well calls each plate'!I6+5,ROW()+1)),
AVERAGE(
INDIRECT("'Plate map key'!"&amp;ADDRESS(TRUNC('Well calls each plate'!I6)+5,ROW()+1)),
INDIRECT("'Plate map key'!"&amp;ADDRESS(TRUNC('Well calls each plate'!I6)+6,ROW()+1))
)
)</f>
        <v>4.8828125E-2</v>
      </c>
      <c r="J6" s="61" cm="1">
        <f t="array" aca="1" ref="J6" ca="1">IF(
MOD('Well calls each plate'!J6,1)=0,
INDIRECT("'Plate map key'!"&amp;ADDRESS('Well calls each plate'!J6+5,ROW()+1)),
AVERAGE(
INDIRECT("'Plate map key'!"&amp;ADDRESS(TRUNC('Well calls each plate'!J6)+5,ROW()+1)),
INDIRECT("'Plate map key'!"&amp;ADDRESS(TRUNC('Well calls each plate'!J6)+6,ROW()+1))
)
)</f>
        <v>4.8828125E-2</v>
      </c>
      <c r="K6" s="61" cm="1">
        <f t="array" aca="1" ref="K6" ca="1">IF(
MOD('Well calls each plate'!K6,1)=0,
INDIRECT("'Plate map key'!"&amp;ADDRESS('Well calls each plate'!K6+5,ROW()+1)),
AVERAGE(
INDIRECT("'Plate map key'!"&amp;ADDRESS(TRUNC('Well calls each plate'!K6)+5,ROW()+1)),
INDIRECT("'Plate map key'!"&amp;ADDRESS(TRUNC('Well calls each plate'!K6)+6,ROW()+1))
)
)</f>
        <v>4.8828125E-2</v>
      </c>
      <c r="L6" s="61" cm="1">
        <f t="array" aca="1" ref="L6" ca="1">IF(
MOD('Well calls each plate'!L6,1)=0,
INDIRECT("'Plate map key'!"&amp;ADDRESS('Well calls each plate'!L6+5,ROW()+1)),
AVERAGE(
INDIRECT("'Plate map key'!"&amp;ADDRESS(TRUNC('Well calls each plate'!L6)+5,ROW()+1)),
INDIRECT("'Plate map key'!"&amp;ADDRESS(TRUNC('Well calls each plate'!L6)+6,ROW()+1))
)
)</f>
        <v>7.32421875E-2</v>
      </c>
      <c r="M6" s="61" cm="1">
        <f t="array" aca="1" ref="M6" ca="1">IF(
MOD('Well calls each plate'!M6,1)=0,
INDIRECT("'Plate map key'!"&amp;ADDRESS('Well calls each plate'!M6+5,ROW()+1)),
AVERAGE(
INDIRECT("'Plate map key'!"&amp;ADDRESS(TRUNC('Well calls each plate'!M6)+5,ROW()+1)),
INDIRECT("'Plate map key'!"&amp;ADDRESS(TRUNC('Well calls each plate'!M6)+6,ROW()+1))
)
)</f>
        <v>7.32421875E-2</v>
      </c>
      <c r="N6" s="61" cm="1">
        <f t="array" aca="1" ref="N6" ca="1">IF(
MOD('Well calls each plate'!N6,1)=0,
INDIRECT("'Plate map key'!"&amp;ADDRESS('Well calls each plate'!N6+5,ROW()+1)),
AVERAGE(
INDIRECT("'Plate map key'!"&amp;ADDRESS(TRUNC('Well calls each plate'!N6)+5,ROW()+1)),
INDIRECT("'Plate map key'!"&amp;ADDRESS(TRUNC('Well calls each plate'!N6)+6,ROW()+1))
)
)</f>
        <v>7.32421875E-2</v>
      </c>
      <c r="O6" s="64" t="e" cm="1">
        <f t="array" aca="1" ref="O6" ca="1">IF(
MOD('Well calls each plate'!O6,1)=0,
INDIRECT("'Plate map key'!"&amp;ADDRESS('Well calls each plate'!O6+5,ROW()+1)),
AVERAGE(
INDIRECT("'Plate map key'!"&amp;ADDRESS(TRUNC('Well calls each plate'!O6)+5,ROW()+1)),
INDIRECT("'Plate map key'!"&amp;ADDRESS(TRUNC('Well calls each plate'!O6)+6,ROW()+1))
)
)</f>
        <v>#VALUE!</v>
      </c>
      <c r="P6" s="64" t="e" cm="1">
        <f t="array" aca="1" ref="P6" ca="1">IF(
MOD('Well calls each plate'!P6,1)=0,
INDIRECT("'Plate map key'!"&amp;ADDRESS('Well calls each plate'!P6+5,ROW()+1)),
AVERAGE(
INDIRECT("'Plate map key'!"&amp;ADDRESS(TRUNC('Well calls each plate'!P6)+5,ROW()+1)),
INDIRECT("'Plate map key'!"&amp;ADDRESS(TRUNC('Well calls each plate'!P6)+6,ROW()+1))
)
)</f>
        <v>#VALUE!</v>
      </c>
      <c r="Q6" s="64" t="e" cm="1">
        <f t="array" aca="1" ref="Q6" ca="1">IF(
MOD('Well calls each plate'!Q6,1)=0,
INDIRECT("'Plate map key'!"&amp;ADDRESS('Well calls each plate'!Q6+5,ROW()+1)),
AVERAGE(
INDIRECT("'Plate map key'!"&amp;ADDRESS(TRUNC('Well calls each plate'!Q6)+5,ROW()+1)),
INDIRECT("'Plate map key'!"&amp;ADDRESS(TRUNC('Well calls each plate'!Q6)+6,ROW()+1))
)
)</f>
        <v>#VALUE!</v>
      </c>
      <c r="R6" s="61" cm="1">
        <f t="array" aca="1" ref="R6" ca="1">IF(
MOD('Well calls each plate'!R6,1)=0,
INDIRECT("'Plate map key'!"&amp;ADDRESS('Well calls each plate'!R6+5,ROW()+1)),
AVERAGE(
INDIRECT("'Plate map key'!"&amp;ADDRESS(TRUNC('Well calls each plate'!R6)+5,ROW()+1)),
INDIRECT("'Plate map key'!"&amp;ADDRESS(TRUNC('Well calls each plate'!R6)+6,ROW()+1))
)
)</f>
        <v>1.220703125E-2</v>
      </c>
      <c r="S6" s="61" cm="1">
        <f t="array" aca="1" ref="S6" ca="1">IF(
MOD('Well calls each plate'!S6,1)=0,
INDIRECT("'Plate map key'!"&amp;ADDRESS('Well calls each plate'!S6+5,ROW()+1)),
AVERAGE(
INDIRECT("'Plate map key'!"&amp;ADDRESS(TRUNC('Well calls each plate'!S6)+5,ROW()+1)),
INDIRECT("'Plate map key'!"&amp;ADDRESS(TRUNC('Well calls each plate'!S6)+6,ROW()+1))
)
)</f>
        <v>2.44140625E-2</v>
      </c>
      <c r="T6" s="61" cm="1">
        <f t="array" aca="1" ref="T6" ca="1">IF(
MOD('Well calls each plate'!T6,1)=0,
INDIRECT("'Plate map key'!"&amp;ADDRESS('Well calls each plate'!T6+5,ROW()+1)),
AVERAGE(
INDIRECT("'Plate map key'!"&amp;ADDRESS(TRUNC('Well calls each plate'!T6)+5,ROW()+1)),
INDIRECT("'Plate map key'!"&amp;ADDRESS(TRUNC('Well calls each plate'!T6)+6,ROW()+1))
)
)</f>
        <v>1.220703125E-2</v>
      </c>
      <c r="U6" s="61" cm="1">
        <f t="array" aca="1" ref="U6" ca="1">IF(
MOD('Well calls each plate'!U6,1)=0,
INDIRECT("'Plate map key'!"&amp;ADDRESS('Well calls each plate'!U6+5,ROW()+1)),
AVERAGE(
INDIRECT("'Plate map key'!"&amp;ADDRESS(TRUNC('Well calls each plate'!U6)+5,ROW()+1)),
INDIRECT("'Plate map key'!"&amp;ADDRESS(TRUNC('Well calls each plate'!U6)+6,ROW()+1))
)
)</f>
        <v>3.662109375E-2</v>
      </c>
      <c r="V6" s="61" cm="1">
        <f t="array" aca="1" ref="V6" ca="1">IF(
MOD('Well calls each plate'!V6,1)=0,
INDIRECT("'Plate map key'!"&amp;ADDRESS('Well calls each plate'!V6+5,ROW()+1)),
AVERAGE(
INDIRECT("'Plate map key'!"&amp;ADDRESS(TRUNC('Well calls each plate'!V6)+5,ROW()+1)),
INDIRECT("'Plate map key'!"&amp;ADDRESS(TRUNC('Well calls each plate'!V6)+6,ROW()+1))
)
)</f>
        <v>3.662109375E-2</v>
      </c>
      <c r="W6" s="61" cm="1">
        <f t="array" aca="1" ref="W6" ca="1">IF(
MOD('Well calls each plate'!W6,1)=0,
INDIRECT("'Plate map key'!"&amp;ADDRESS('Well calls each plate'!W6+5,ROW()+1)),
AVERAGE(
INDIRECT("'Plate map key'!"&amp;ADDRESS(TRUNC('Well calls each plate'!W6)+5,ROW()+1)),
INDIRECT("'Plate map key'!"&amp;ADDRESS(TRUNC('Well calls each plate'!W6)+6,ROW()+1))
)
)</f>
        <v>3.662109375E-2</v>
      </c>
      <c r="X6" s="61" cm="1">
        <f t="array" aca="1" ref="X6" ca="1">IF(
MOD('Well calls each plate'!X6,1)=0,
INDIRECT("'Plate map key'!"&amp;ADDRESS('Well calls each plate'!X6+5,ROW()+1)),
AVERAGE(
INDIRECT("'Plate map key'!"&amp;ADDRESS(TRUNC('Well calls each plate'!X6)+5,ROW()+1)),
INDIRECT("'Plate map key'!"&amp;ADDRESS(TRUNC('Well calls each plate'!X6)+6,ROW()+1))
)
)</f>
        <v>7.32421875E-2</v>
      </c>
      <c r="Y6" s="61" cm="1">
        <f t="array" aca="1" ref="Y6" ca="1">IF(
MOD('Well calls each plate'!Y6,1)=0,
INDIRECT("'Plate map key'!"&amp;ADDRESS('Well calls each plate'!Y6+5,ROW()+1)),
AVERAGE(
INDIRECT("'Plate map key'!"&amp;ADDRESS(TRUNC('Well calls each plate'!Y6)+5,ROW()+1)),
INDIRECT("'Plate map key'!"&amp;ADDRESS(TRUNC('Well calls each plate'!Y6)+6,ROW()+1))
)
)</f>
        <v>7.32421875E-2</v>
      </c>
      <c r="Z6" s="61" cm="1">
        <f t="array" aca="1" ref="Z6" ca="1">IF(
MOD('Well calls each plate'!Z6,1)=0,
INDIRECT("'Plate map key'!"&amp;ADDRESS('Well calls each plate'!Z6+5,ROW()+1)),
AVERAGE(
INDIRECT("'Plate map key'!"&amp;ADDRESS(TRUNC('Well calls each plate'!Z6)+5,ROW()+1)),
INDIRECT("'Plate map key'!"&amp;ADDRESS(TRUNC('Well calls each plate'!Z6)+6,ROW()+1))
)
)</f>
        <v>7.32421875E-2</v>
      </c>
      <c r="AA6" s="61" cm="1">
        <f t="array" aca="1" ref="AA6" ca="1">IF(
MOD('Well calls each plate'!AA6,1)=0,
INDIRECT("'Plate map key'!"&amp;ADDRESS('Well calls each plate'!AA6+5,ROW()+1)),
AVERAGE(
INDIRECT("'Plate map key'!"&amp;ADDRESS(TRUNC('Well calls each plate'!AA6)+5,ROW()+1)),
INDIRECT("'Plate map key'!"&amp;ADDRESS(TRUNC('Well calls each plate'!AA6)+6,ROW()+1))
)
)</f>
        <v>7.32421875E-2</v>
      </c>
      <c r="AB6" s="61" cm="1">
        <f t="array" aca="1" ref="AB6" ca="1">IF(
MOD('Well calls each plate'!AB6,1)=0,
INDIRECT("'Plate map key'!"&amp;ADDRESS('Well calls each plate'!AB6+5,ROW()+1)),
AVERAGE(
INDIRECT("'Plate map key'!"&amp;ADDRESS(TRUNC('Well calls each plate'!AB6)+5,ROW()+1)),
INDIRECT("'Plate map key'!"&amp;ADDRESS(TRUNC('Well calls each plate'!AB6)+6,ROW()+1))
)
)</f>
        <v>7.32421875E-2</v>
      </c>
      <c r="AC6" s="61" cm="1">
        <f t="array" aca="1" ref="AC6" ca="1">IF(
MOD('Well calls each plate'!AC6,1)=0,
INDIRECT("'Plate map key'!"&amp;ADDRESS('Well calls each plate'!AC6+5,ROW()+1)),
AVERAGE(
INDIRECT("'Plate map key'!"&amp;ADDRESS(TRUNC('Well calls each plate'!AC6)+5,ROW()+1)),
INDIRECT("'Plate map key'!"&amp;ADDRESS(TRUNC('Well calls each plate'!AC6)+6,ROW()+1))
)
)</f>
        <v>7.32421875E-2</v>
      </c>
      <c r="AD6" s="61" cm="1">
        <f t="array" aca="1" ref="AD6" ca="1">IF(
MOD('Well calls each plate'!AD6,1)=0,
INDIRECT("'Plate map key'!"&amp;ADDRESS('Well calls each plate'!AD6+5,ROW()+1)),
AVERAGE(
INDIRECT("'Plate map key'!"&amp;ADDRESS(TRUNC('Well calls each plate'!AD6)+5,ROW()+1)),
INDIRECT("'Plate map key'!"&amp;ADDRESS(TRUNC('Well calls each plate'!AD6)+6,ROW()+1))
)
)</f>
        <v>6.103515625E-3</v>
      </c>
      <c r="AE6" s="61" cm="1">
        <f t="array" aca="1" ref="AE6" ca="1">IF(
MOD('Well calls each plate'!AE6,1)=0,
INDIRECT("'Plate map key'!"&amp;ADDRESS('Well calls each plate'!AE6+5,ROW()+1)),
AVERAGE(
INDIRECT("'Plate map key'!"&amp;ADDRESS(TRUNC('Well calls each plate'!AE6)+5,ROW()+1)),
INDIRECT("'Plate map key'!"&amp;ADDRESS(TRUNC('Well calls each plate'!AE6)+6,ROW()+1))
)
)</f>
        <v>6.103515625E-3</v>
      </c>
      <c r="AF6" s="61" cm="1">
        <f t="array" aca="1" ref="AF6" ca="1">IF(
MOD('Well calls each plate'!AF6,1)=0,
INDIRECT("'Plate map key'!"&amp;ADDRESS('Well calls each plate'!AF6+5,ROW()+1)),
AVERAGE(
INDIRECT("'Plate map key'!"&amp;ADDRESS(TRUNC('Well calls each plate'!AF6)+5,ROW()+1)),
INDIRECT("'Plate map key'!"&amp;ADDRESS(TRUNC('Well calls each plate'!AF6)+6,ROW()+1))
)
)</f>
        <v>6.103515625E-3</v>
      </c>
      <c r="AG6" s="61" cm="1">
        <f t="array" aca="1" ref="AG6" ca="1">IF(
MOD('Well calls each plate'!AG6,1)=0,
INDIRECT("'Plate map key'!"&amp;ADDRESS('Well calls each plate'!AG6+5,ROW()+1)),
AVERAGE(
INDIRECT("'Plate map key'!"&amp;ADDRESS(TRUNC('Well calls each plate'!AG6)+5,ROW()+1)),
INDIRECT("'Plate map key'!"&amp;ADDRESS(TRUNC('Well calls each plate'!AG6)+6,ROW()+1))
)
)</f>
        <v>0.146484375</v>
      </c>
      <c r="AH6" s="61" cm="1">
        <f t="array" aca="1" ref="AH6" ca="1">IF(
MOD('Well calls each plate'!AH6,1)=0,
INDIRECT("'Plate map key'!"&amp;ADDRESS('Well calls each plate'!AH6+5,ROW()+1)),
AVERAGE(
INDIRECT("'Plate map key'!"&amp;ADDRESS(TRUNC('Well calls each plate'!AH6)+5,ROW()+1)),
INDIRECT("'Plate map key'!"&amp;ADDRESS(TRUNC('Well calls each plate'!AH6)+6,ROW()+1))
)
)</f>
        <v>9.765625E-2</v>
      </c>
      <c r="AI6" s="61" cm="1">
        <f t="array" aca="1" ref="AI6" ca="1">IF(
MOD('Well calls each plate'!AI6,1)=0,
INDIRECT("'Plate map key'!"&amp;ADDRESS('Well calls each plate'!AI6+5,ROW()+1)),
AVERAGE(
INDIRECT("'Plate map key'!"&amp;ADDRESS(TRUNC('Well calls each plate'!AI6)+5,ROW()+1)),
INDIRECT("'Plate map key'!"&amp;ADDRESS(TRUNC('Well calls each plate'!AI6)+6,ROW()+1))
)
)</f>
        <v>9.765625E-2</v>
      </c>
      <c r="AJ6" s="61" cm="1">
        <f t="array" aca="1" ref="AJ6" ca="1">IF(
MOD('Well calls each plate'!AJ6,1)=0,
INDIRECT("'Plate map key'!"&amp;ADDRESS('Well calls each plate'!AJ6+5,ROW()+1)),
AVERAGE(
INDIRECT("'Plate map key'!"&amp;ADDRESS(TRUNC('Well calls each plate'!AJ6)+5,ROW()+1)),
INDIRECT("'Plate map key'!"&amp;ADDRESS(TRUNC('Well calls each plate'!AJ6)+6,ROW()+1))
)
)</f>
        <v>3.662109375E-2</v>
      </c>
      <c r="AK6" s="61" cm="1">
        <f t="array" aca="1" ref="AK6" ca="1">IF(
MOD('Well calls each plate'!AK6,1)=0,
INDIRECT("'Plate map key'!"&amp;ADDRESS('Well calls each plate'!AK6+5,ROW()+1)),
AVERAGE(
INDIRECT("'Plate map key'!"&amp;ADDRESS(TRUNC('Well calls each plate'!AK6)+5,ROW()+1)),
INDIRECT("'Plate map key'!"&amp;ADDRESS(TRUNC('Well calls each plate'!AK6)+6,ROW()+1))
)
)</f>
        <v>3.662109375E-2</v>
      </c>
      <c r="AL6" s="61" cm="1">
        <f t="array" aca="1" ref="AL6" ca="1">IF(
MOD('Well calls each plate'!AL6,1)=0,
INDIRECT("'Plate map key'!"&amp;ADDRESS('Well calls each plate'!AL6+5,ROW()+1)),
AVERAGE(
INDIRECT("'Plate map key'!"&amp;ADDRESS(TRUNC('Well calls each plate'!AL6)+5,ROW()+1)),
INDIRECT("'Plate map key'!"&amp;ADDRESS(TRUNC('Well calls each plate'!AL6)+6,ROW()+1))
)
)</f>
        <v>3.662109375E-2</v>
      </c>
      <c r="AM6" s="61" cm="1">
        <f t="array" aca="1" ref="AM6" ca="1">IF(
MOD('Well calls each plate'!AM6,1)=0,
INDIRECT("'Plate map key'!"&amp;ADDRESS('Well calls each plate'!AM6+5,ROW()+1)),
AVERAGE(
INDIRECT("'Plate map key'!"&amp;ADDRESS(TRUNC('Well calls each plate'!AM6)+5,ROW()+1)),
INDIRECT("'Plate map key'!"&amp;ADDRESS(TRUNC('Well calls each plate'!AM6)+6,ROW()+1))
)
)</f>
        <v>1.8310546875E-2</v>
      </c>
      <c r="AN6" s="61" cm="1">
        <f t="array" aca="1" ref="AN6" ca="1">IF(
MOD('Well calls each plate'!AN6,1)=0,
INDIRECT("'Plate map key'!"&amp;ADDRESS('Well calls each plate'!AN6+5,ROW()+1)),
AVERAGE(
INDIRECT("'Plate map key'!"&amp;ADDRESS(TRUNC('Well calls each plate'!AN6)+5,ROW()+1)),
INDIRECT("'Plate map key'!"&amp;ADDRESS(TRUNC('Well calls each plate'!AN6)+6,ROW()+1))
)
)</f>
        <v>1.8310546875E-2</v>
      </c>
      <c r="AO6" s="61" cm="1">
        <f t="array" aca="1" ref="AO6" ca="1">IF(
MOD('Well calls each plate'!AO6,1)=0,
INDIRECT("'Plate map key'!"&amp;ADDRESS('Well calls each plate'!AO6+5,ROW()+1)),
AVERAGE(
INDIRECT("'Plate map key'!"&amp;ADDRESS(TRUNC('Well calls each plate'!AO6)+5,ROW()+1)),
INDIRECT("'Plate map key'!"&amp;ADDRESS(TRUNC('Well calls each plate'!AO6)+6,ROW()+1))
)
)</f>
        <v>1.8310546875E-2</v>
      </c>
      <c r="AP6" s="61" cm="1">
        <f t="array" aca="1" ref="AP6" ca="1">IF(
MOD('Well calls each plate'!AP6,1)=0,
INDIRECT("'Plate map key'!"&amp;ADDRESS('Well calls each plate'!AP6+5,ROW()+1)),
AVERAGE(
INDIRECT("'Plate map key'!"&amp;ADDRESS(TRUNC('Well calls each plate'!AP6)+5,ROW()+1)),
INDIRECT("'Plate map key'!"&amp;ADDRESS(TRUNC('Well calls each plate'!AP6)+6,ROW()+1))
)
)</f>
        <v>9.1552734375E-3</v>
      </c>
      <c r="AQ6" s="61" cm="1">
        <f t="array" aca="1" ref="AQ6" ca="1">IF(
MOD('Well calls each plate'!AQ6,1)=0,
INDIRECT("'Plate map key'!"&amp;ADDRESS('Well calls each plate'!AQ6+5,ROW()+1)),
AVERAGE(
INDIRECT("'Plate map key'!"&amp;ADDRESS(TRUNC('Well calls each plate'!AQ6)+5,ROW()+1)),
INDIRECT("'Plate map key'!"&amp;ADDRESS(TRUNC('Well calls each plate'!AQ6)+6,ROW()+1))
)
)</f>
        <v>9.1552734375E-3</v>
      </c>
      <c r="AR6" s="61" cm="1">
        <f t="array" aca="1" ref="AR6" ca="1">IF(
MOD('Well calls each plate'!AR6,1)=0,
INDIRECT("'Plate map key'!"&amp;ADDRESS('Well calls each plate'!AR6+5,ROW()+1)),
AVERAGE(
INDIRECT("'Plate map key'!"&amp;ADDRESS(TRUNC('Well calls each plate'!AR6)+5,ROW()+1)),
INDIRECT("'Plate map key'!"&amp;ADDRESS(TRUNC('Well calls each plate'!AR6)+6,ROW()+1))
)
)</f>
        <v>9.1552734375E-3</v>
      </c>
      <c r="AS6" s="61" cm="1">
        <f t="array" aca="1" ref="AS6" ca="1">IF(
MOD('Well calls each plate'!AS6,1)=0,
INDIRECT("'Plate map key'!"&amp;ADDRESS('Well calls each plate'!AS6+5,ROW()+1)),
AVERAGE(
INDIRECT("'Plate map key'!"&amp;ADDRESS(TRUNC('Well calls each plate'!AS6)+5,ROW()+1)),
INDIRECT("'Plate map key'!"&amp;ADDRESS(TRUNC('Well calls each plate'!AS6)+6,ROW()+1))
)
)</f>
        <v>9.1552734375E-3</v>
      </c>
      <c r="AT6" s="61" cm="1">
        <f t="array" aca="1" ref="AT6" ca="1">IF(
MOD('Well calls each plate'!AT6,1)=0,
INDIRECT("'Plate map key'!"&amp;ADDRESS('Well calls each plate'!AT6+5,ROW()+1)),
AVERAGE(
INDIRECT("'Plate map key'!"&amp;ADDRESS(TRUNC('Well calls each plate'!AT6)+5,ROW()+1)),
INDIRECT("'Plate map key'!"&amp;ADDRESS(TRUNC('Well calls each plate'!AT6)+6,ROW()+1))
)
)</f>
        <v>9.1552734375E-3</v>
      </c>
      <c r="AU6" s="61" cm="1">
        <f t="array" aca="1" ref="AU6" ca="1">IF(
MOD('Well calls each plate'!AU6,1)=0,
INDIRECT("'Plate map key'!"&amp;ADDRESS('Well calls each plate'!AU6+5,ROW()+1)),
AVERAGE(
INDIRECT("'Plate map key'!"&amp;ADDRESS(TRUNC('Well calls each plate'!AU6)+5,ROW()+1)),
INDIRECT("'Plate map key'!"&amp;ADDRESS(TRUNC('Well calls each plate'!AU6)+6,ROW()+1))
)
)</f>
        <v>9.1552734375E-3</v>
      </c>
      <c r="AV6" s="61" cm="1">
        <f t="array" aca="1" ref="AV6" ca="1">IF(
MOD('Well calls each plate'!AV6,1)=0,
INDIRECT("'Plate map key'!"&amp;ADDRESS('Well calls each plate'!AV6+5,ROW()+1)),
AVERAGE(
INDIRECT("'Plate map key'!"&amp;ADDRESS(TRUNC('Well calls each plate'!AV6)+5,ROW()+1)),
INDIRECT("'Plate map key'!"&amp;ADDRESS(TRUNC('Well calls each plate'!AV6)+6,ROW()+1))
)
)</f>
        <v>3.662109375E-2</v>
      </c>
      <c r="AW6" s="61" cm="1">
        <f t="array" aca="1" ref="AW6" ca="1">IF(
MOD('Well calls each plate'!AW6,1)=0,
INDIRECT("'Plate map key'!"&amp;ADDRESS('Well calls each plate'!AW6+5,ROW()+1)),
AVERAGE(
INDIRECT("'Plate map key'!"&amp;ADDRESS(TRUNC('Well calls each plate'!AW6)+5,ROW()+1)),
INDIRECT("'Plate map key'!"&amp;ADDRESS(TRUNC('Well calls each plate'!AW6)+6,ROW()+1))
)
)</f>
        <v>3.662109375E-2</v>
      </c>
      <c r="AX6" s="61" cm="1">
        <f t="array" aca="1" ref="AX6" ca="1">IF(
MOD('Well calls each plate'!AX6,1)=0,
INDIRECT("'Plate map key'!"&amp;ADDRESS('Well calls each plate'!AX6+5,ROW()+1)),
AVERAGE(
INDIRECT("'Plate map key'!"&amp;ADDRESS(TRUNC('Well calls each plate'!AX6)+5,ROW()+1)),
INDIRECT("'Plate map key'!"&amp;ADDRESS(TRUNC('Well calls each plate'!AX6)+6,ROW()+1))
)
)</f>
        <v>3.662109375E-2</v>
      </c>
      <c r="AY6" s="61" cm="1">
        <f t="array" aca="1" ref="AY6" ca="1">IF(
MOD('Well calls each plate'!AY6,1)=0,
INDIRECT("'Plate map key'!"&amp;ADDRESS('Well calls each plate'!AY6+5,ROW()+1)),
AVERAGE(
INDIRECT("'Plate map key'!"&amp;ADDRESS(TRUNC('Well calls each plate'!AY6)+5,ROW()+1)),
INDIRECT("'Plate map key'!"&amp;ADDRESS(TRUNC('Well calls each plate'!AY6)+6,ROW()+1))
)
)</f>
        <v>4.8828125E-2</v>
      </c>
      <c r="AZ6" s="61" cm="1">
        <f t="array" aca="1" ref="AZ6" ca="1">IF(
MOD('Well calls each plate'!AZ6,1)=0,
INDIRECT("'Plate map key'!"&amp;ADDRESS('Well calls each plate'!AZ6+5,ROW()+1)),
AVERAGE(
INDIRECT("'Plate map key'!"&amp;ADDRESS(TRUNC('Well calls each plate'!AZ6)+5,ROW()+1)),
INDIRECT("'Plate map key'!"&amp;ADDRESS(TRUNC('Well calls each plate'!AZ6)+6,ROW()+1))
)
)</f>
        <v>4.8828125E-2</v>
      </c>
      <c r="BA6" s="61" cm="1">
        <f t="array" aca="1" ref="BA6" ca="1">IF(
MOD('Well calls each plate'!BA6,1)=0,
INDIRECT("'Plate map key'!"&amp;ADDRESS('Well calls each plate'!BA6+5,ROW()+1)),
AVERAGE(
INDIRECT("'Plate map key'!"&amp;ADDRESS(TRUNC('Well calls each plate'!BA6)+5,ROW()+1)),
INDIRECT("'Plate map key'!"&amp;ADDRESS(TRUNC('Well calls each plate'!BA6)+6,ROW()+1))
)
)</f>
        <v>4.8828125E-2</v>
      </c>
      <c r="BB6" s="61" cm="1">
        <f t="array" aca="1" ref="BB6" ca="1">IF(
MOD('Well calls each plate'!BB6,1)=0,
INDIRECT("'Plate map key'!"&amp;ADDRESS('Well calls each plate'!BB6+5,ROW()+1)),
AVERAGE(
INDIRECT("'Plate map key'!"&amp;ADDRESS(TRUNC('Well calls each plate'!BB6)+5,ROW()+1)),
INDIRECT("'Plate map key'!"&amp;ADDRESS(TRUNC('Well calls each plate'!BB6)+6,ROW()+1))
)
)</f>
        <v>9.1552734375E-3</v>
      </c>
      <c r="BC6" s="61" cm="1">
        <f t="array" aca="1" ref="BC6" ca="1">IF(
MOD('Well calls each plate'!BC6,1)=0,
INDIRECT("'Plate map key'!"&amp;ADDRESS('Well calls each plate'!BC6+5,ROW()+1)),
AVERAGE(
INDIRECT("'Plate map key'!"&amp;ADDRESS(TRUNC('Well calls each plate'!BC6)+5,ROW()+1)),
INDIRECT("'Plate map key'!"&amp;ADDRESS(TRUNC('Well calls each plate'!BC6)+6,ROW()+1))
)
)</f>
        <v>9.1552734375E-3</v>
      </c>
      <c r="BD6" s="61" cm="1">
        <f t="array" aca="1" ref="BD6" ca="1">IF(
MOD('Well calls each plate'!BD6,1)=0,
INDIRECT("'Plate map key'!"&amp;ADDRESS('Well calls each plate'!BD6+5,ROW()+1)),
AVERAGE(
INDIRECT("'Plate map key'!"&amp;ADDRESS(TRUNC('Well calls each plate'!BD6)+5,ROW()+1)),
INDIRECT("'Plate map key'!"&amp;ADDRESS(TRUNC('Well calls each plate'!BD6)+6,ROW()+1))
)
)</f>
        <v>9.1552734375E-3</v>
      </c>
      <c r="BE6" s="61" cm="1">
        <f t="array" aca="1" ref="BE6" ca="1">IF(
MOD('Well calls each plate'!BE6,1)=0,
INDIRECT("'Plate map key'!"&amp;ADDRESS('Well calls each plate'!BE6+5,ROW()+1)),
AVERAGE(
INDIRECT("'Plate map key'!"&amp;ADDRESS(TRUNC('Well calls each plate'!BE6)+5,ROW()+1)),
INDIRECT("'Plate map key'!"&amp;ADDRESS(TRUNC('Well calls each plate'!BE6)+6,ROW()+1))
)
)</f>
        <v>9.1552734375E-3</v>
      </c>
      <c r="BF6" s="61" cm="1">
        <f t="array" aca="1" ref="BF6" ca="1">IF(
MOD('Well calls each plate'!BF6,1)=0,
INDIRECT("'Plate map key'!"&amp;ADDRESS('Well calls each plate'!BF6+5,ROW()+1)),
AVERAGE(
INDIRECT("'Plate map key'!"&amp;ADDRESS(TRUNC('Well calls each plate'!BF6)+5,ROW()+1)),
INDIRECT("'Plate map key'!"&amp;ADDRESS(TRUNC('Well calls each plate'!BF6)+6,ROW()+1))
)
)</f>
        <v>1.220703125E-2</v>
      </c>
      <c r="BG6" s="61" cm="1">
        <f t="array" aca="1" ref="BG6" ca="1">IF(
MOD('Well calls each plate'!BG6,1)=0,
INDIRECT("'Plate map key'!"&amp;ADDRESS('Well calls each plate'!BG6+5,ROW()+1)),
AVERAGE(
INDIRECT("'Plate map key'!"&amp;ADDRESS(TRUNC('Well calls each plate'!BG6)+5,ROW()+1)),
INDIRECT("'Plate map key'!"&amp;ADDRESS(TRUNC('Well calls each plate'!BG6)+6,ROW()+1))
)
)</f>
        <v>9.1552734375E-3</v>
      </c>
      <c r="BH6" s="61" cm="1">
        <f t="array" aca="1" ref="BH6" ca="1">IF(
MOD('Well calls each plate'!BH6,1)=0,
INDIRECT("'Plate map key'!"&amp;ADDRESS('Well calls each plate'!BH6+5,ROW()+1)),
AVERAGE(
INDIRECT("'Plate map key'!"&amp;ADDRESS(TRUNC('Well calls each plate'!BH6)+5,ROW()+1)),
INDIRECT("'Plate map key'!"&amp;ADDRESS(TRUNC('Well calls each plate'!BH6)+6,ROW()+1))
)
)</f>
        <v>1.8310546875E-2</v>
      </c>
      <c r="BI6" s="61" cm="1">
        <f t="array" aca="1" ref="BI6" ca="1">IF(
MOD('Well calls each plate'!BI6,1)=0,
INDIRECT("'Plate map key'!"&amp;ADDRESS('Well calls each plate'!BI6+5,ROW()+1)),
AVERAGE(
INDIRECT("'Plate map key'!"&amp;ADDRESS(TRUNC('Well calls each plate'!BI6)+5,ROW()+1)),
INDIRECT("'Plate map key'!"&amp;ADDRESS(TRUNC('Well calls each plate'!BI6)+6,ROW()+1))
)
)</f>
        <v>1.8310546875E-2</v>
      </c>
      <c r="BJ6" s="61" cm="1">
        <f t="array" aca="1" ref="BJ6" ca="1">IF(
MOD('Well calls each plate'!BJ6,1)=0,
INDIRECT("'Plate map key'!"&amp;ADDRESS('Well calls each plate'!BJ6+5,ROW()+1)),
AVERAGE(
INDIRECT("'Plate map key'!"&amp;ADDRESS(TRUNC('Well calls each plate'!BJ6)+5,ROW()+1)),
INDIRECT("'Plate map key'!"&amp;ADDRESS(TRUNC('Well calls each plate'!BJ6)+6,ROW()+1))
)
)</f>
        <v>2.44140625E-2</v>
      </c>
      <c r="BK6" s="61" cm="1">
        <f t="array" aca="1" ref="BK6" ca="1">IF(
MOD('Well calls each plate'!BK6,1)=0,
INDIRECT("'Plate map key'!"&amp;ADDRESS('Well calls each plate'!BK6+5,ROW()+1)),
AVERAGE(
INDIRECT("'Plate map key'!"&amp;ADDRESS(TRUNC('Well calls each plate'!BK6)+5,ROW()+1)),
INDIRECT("'Plate map key'!"&amp;ADDRESS(TRUNC('Well calls each plate'!BK6)+6,ROW()+1))
)
)</f>
        <v>1.220703125E-2</v>
      </c>
      <c r="BL6" s="61" cm="1">
        <f t="array" aca="1" ref="BL6" ca="1">IF(
MOD('Well calls each plate'!BL6,1)=0,
INDIRECT("'Plate map key'!"&amp;ADDRESS('Well calls each plate'!BL6+5,ROW()+1)),
AVERAGE(
INDIRECT("'Plate map key'!"&amp;ADDRESS(TRUNC('Well calls each plate'!BL6)+5,ROW()+1)),
INDIRECT("'Plate map key'!"&amp;ADDRESS(TRUNC('Well calls each plate'!BL6)+6,ROW()+1))
)
)</f>
        <v>1.220703125E-2</v>
      </c>
      <c r="BM6" s="61" cm="1">
        <f t="array" aca="1" ref="BM6" ca="1">IF(
MOD('Well calls each plate'!BM6,1)=0,
INDIRECT("'Plate map key'!"&amp;ADDRESS('Well calls each plate'!BM6+5,ROW()+1)),
AVERAGE(
INDIRECT("'Plate map key'!"&amp;ADDRESS(TRUNC('Well calls each plate'!BM6)+5,ROW()+1)),
INDIRECT("'Plate map key'!"&amp;ADDRESS(TRUNC('Well calls each plate'!BM6)+6,ROW()+1))
)
)</f>
        <v>1.220703125E-2</v>
      </c>
    </row>
    <row r="7" spans="2:65" x14ac:dyDescent="0.2">
      <c r="B7" s="55" t="s">
        <v>4</v>
      </c>
      <c r="C7" s="61" cm="1">
        <f t="array" aca="1" ref="C7" ca="1">IF(
MOD('Well calls each plate'!C7,1)=0,
INDIRECT("'Plate map key'!"&amp;ADDRESS('Well calls each plate'!C7+5,ROW()+1)),
AVERAGE(
INDIRECT("'Plate map key'!"&amp;ADDRESS(TRUNC('Well calls each plate'!C7)+5,ROW()+1)),
INDIRECT("'Plate map key'!"&amp;ADDRESS(TRUNC('Well calls each plate'!C7)+6,ROW()+1))
)
)</f>
        <v>1.46484375</v>
      </c>
      <c r="D7" s="61" cm="1">
        <f t="array" aca="1" ref="D7" ca="1">IF(
MOD('Well calls each plate'!D7,1)=0,
INDIRECT("'Plate map key'!"&amp;ADDRESS('Well calls each plate'!D7+5,ROW()+1)),
AVERAGE(
INDIRECT("'Plate map key'!"&amp;ADDRESS(TRUNC('Well calls each plate'!D7)+5,ROW()+1)),
INDIRECT("'Plate map key'!"&amp;ADDRESS(TRUNC('Well calls each plate'!D7)+6,ROW()+1))
)
)</f>
        <v>1.46484375</v>
      </c>
      <c r="E7" s="61" cm="1">
        <f t="array" aca="1" ref="E7" ca="1">IF(
MOD('Well calls each plate'!E7,1)=0,
INDIRECT("'Plate map key'!"&amp;ADDRESS('Well calls each plate'!E7+5,ROW()+1)),
AVERAGE(
INDIRECT("'Plate map key'!"&amp;ADDRESS(TRUNC('Well calls each plate'!E7)+5,ROW()+1)),
INDIRECT("'Plate map key'!"&amp;ADDRESS(TRUNC('Well calls each plate'!E7)+6,ROW()+1))
)
)</f>
        <v>0.9765625</v>
      </c>
      <c r="F7" s="61" cm="1">
        <f t="array" aca="1" ref="F7" ca="1">IF(
MOD('Well calls each plate'!F7,1)=0,
INDIRECT("'Plate map key'!"&amp;ADDRESS('Well calls each plate'!F7+5,ROW()+1)),
AVERAGE(
INDIRECT("'Plate map key'!"&amp;ADDRESS(TRUNC('Well calls each plate'!F7)+5,ROW()+1)),
INDIRECT("'Plate map key'!"&amp;ADDRESS(TRUNC('Well calls each plate'!F7)+6,ROW()+1))
)
)</f>
        <v>3.90625</v>
      </c>
      <c r="G7" s="61" cm="1">
        <f t="array" aca="1" ref="G7" ca="1">IF(
MOD('Well calls each plate'!G7,1)=0,
INDIRECT("'Plate map key'!"&amp;ADDRESS('Well calls each plate'!G7+5,ROW()+1)),
AVERAGE(
INDIRECT("'Plate map key'!"&amp;ADDRESS(TRUNC('Well calls each plate'!G7)+5,ROW()+1)),
INDIRECT("'Plate map key'!"&amp;ADDRESS(TRUNC('Well calls each plate'!G7)+6,ROW()+1))
)
)</f>
        <v>3.90625</v>
      </c>
      <c r="H7" s="61" cm="1">
        <f t="array" aca="1" ref="H7" ca="1">IF(
MOD('Well calls each plate'!H7,1)=0,
INDIRECT("'Plate map key'!"&amp;ADDRESS('Well calls each plate'!H7+5,ROW()+1)),
AVERAGE(
INDIRECT("'Plate map key'!"&amp;ADDRESS(TRUNC('Well calls each plate'!H7)+5,ROW()+1)),
INDIRECT("'Plate map key'!"&amp;ADDRESS(TRUNC('Well calls each plate'!H7)+6,ROW()+1))
)
)</f>
        <v>3.90625</v>
      </c>
      <c r="I7" s="61" cm="1">
        <f t="array" aca="1" ref="I7" ca="1">IF(
MOD('Well calls each plate'!I7,1)=0,
INDIRECT("'Plate map key'!"&amp;ADDRESS('Well calls each plate'!I7+5,ROW()+1)),
AVERAGE(
INDIRECT("'Plate map key'!"&amp;ADDRESS(TRUNC('Well calls each plate'!I7)+5,ROW()+1)),
INDIRECT("'Plate map key'!"&amp;ADDRESS(TRUNC('Well calls each plate'!I7)+6,ROW()+1))
)
)</f>
        <v>0.1220703125</v>
      </c>
      <c r="J7" s="61" cm="1">
        <f t="array" aca="1" ref="J7" ca="1">IF(
MOD('Well calls each plate'!J7,1)=0,
INDIRECT("'Plate map key'!"&amp;ADDRESS('Well calls each plate'!J7+5,ROW()+1)),
AVERAGE(
INDIRECT("'Plate map key'!"&amp;ADDRESS(TRUNC('Well calls each plate'!J7)+5,ROW()+1)),
INDIRECT("'Plate map key'!"&amp;ADDRESS(TRUNC('Well calls each plate'!J7)+6,ROW()+1))
)
)</f>
        <v>0.244140625</v>
      </c>
      <c r="K7" s="61" cm="1">
        <f t="array" aca="1" ref="K7" ca="1">IF(
MOD('Well calls each plate'!K7,1)=0,
INDIRECT("'Plate map key'!"&amp;ADDRESS('Well calls each plate'!K7+5,ROW()+1)),
AVERAGE(
INDIRECT("'Plate map key'!"&amp;ADDRESS(TRUNC('Well calls each plate'!K7)+5,ROW()+1)),
INDIRECT("'Plate map key'!"&amp;ADDRESS(TRUNC('Well calls each plate'!K7)+6,ROW()+1))
)
)</f>
        <v>0.244140625</v>
      </c>
      <c r="L7" s="61" cm="1">
        <f t="array" aca="1" ref="L7" ca="1">IF(
MOD('Well calls each plate'!L7,1)=0,
INDIRECT("'Plate map key'!"&amp;ADDRESS('Well calls each plate'!L7+5,ROW()+1)),
AVERAGE(
INDIRECT("'Plate map key'!"&amp;ADDRESS(TRUNC('Well calls each plate'!L7)+5,ROW()+1)),
INDIRECT("'Plate map key'!"&amp;ADDRESS(TRUNC('Well calls each plate'!L7)+6,ROW()+1))
)
)</f>
        <v>15.625</v>
      </c>
      <c r="M7" s="61" cm="1">
        <f t="array" aca="1" ref="M7" ca="1">IF(
MOD('Well calls each plate'!M7,1)=0,
INDIRECT("'Plate map key'!"&amp;ADDRESS('Well calls each plate'!M7+5,ROW()+1)),
AVERAGE(
INDIRECT("'Plate map key'!"&amp;ADDRESS(TRUNC('Well calls each plate'!M7)+5,ROW()+1)),
INDIRECT("'Plate map key'!"&amp;ADDRESS(TRUNC('Well calls each plate'!M7)+6,ROW()+1))
)
)</f>
        <v>15.625</v>
      </c>
      <c r="N7" s="61" cm="1">
        <f t="array" aca="1" ref="N7" ca="1">IF(
MOD('Well calls each plate'!N7,1)=0,
INDIRECT("'Plate map key'!"&amp;ADDRESS('Well calls each plate'!N7+5,ROW()+1)),
AVERAGE(
INDIRECT("'Plate map key'!"&amp;ADDRESS(TRUNC('Well calls each plate'!N7)+5,ROW()+1)),
INDIRECT("'Plate map key'!"&amp;ADDRESS(TRUNC('Well calls each plate'!N7)+6,ROW()+1))
)
)</f>
        <v>15.625</v>
      </c>
      <c r="O7" s="61" cm="1">
        <f t="array" aca="1" ref="O7" ca="1">IF(
MOD('Well calls each plate'!O7,1)=0,
INDIRECT("'Plate map key'!"&amp;ADDRESS('Well calls each plate'!O7+5,ROW()+1)),
AVERAGE(
INDIRECT("'Plate map key'!"&amp;ADDRESS(TRUNC('Well calls each plate'!O7)+5,ROW()+1)),
INDIRECT("'Plate map key'!"&amp;ADDRESS(TRUNC('Well calls each plate'!O7)+6,ROW()+1))
)
)</f>
        <v>0.244140625</v>
      </c>
      <c r="P7" s="61" cm="1">
        <f t="array" aca="1" ref="P7" ca="1">IF(
MOD('Well calls each plate'!P7,1)=0,
INDIRECT("'Plate map key'!"&amp;ADDRESS('Well calls each plate'!P7+5,ROW()+1)),
AVERAGE(
INDIRECT("'Plate map key'!"&amp;ADDRESS(TRUNC('Well calls each plate'!P7)+5,ROW()+1)),
INDIRECT("'Plate map key'!"&amp;ADDRESS(TRUNC('Well calls each plate'!P7)+6,ROW()+1))
)
)</f>
        <v>0.244140625</v>
      </c>
      <c r="Q7" s="61" cm="1">
        <f t="array" aca="1" ref="Q7" ca="1">IF(
MOD('Well calls each plate'!Q7,1)=0,
INDIRECT("'Plate map key'!"&amp;ADDRESS('Well calls each plate'!Q7+5,ROW()+1)),
AVERAGE(
INDIRECT("'Plate map key'!"&amp;ADDRESS(TRUNC('Well calls each plate'!Q7)+5,ROW()+1)),
INDIRECT("'Plate map key'!"&amp;ADDRESS(TRUNC('Well calls each plate'!Q7)+6,ROW()+1))
)
)</f>
        <v>0.244140625</v>
      </c>
      <c r="R7" s="61" cm="1">
        <f t="array" aca="1" ref="R7" ca="1">IF(
MOD('Well calls each plate'!R7,1)=0,
INDIRECT("'Plate map key'!"&amp;ADDRESS('Well calls each plate'!R7+5,ROW()+1)),
AVERAGE(
INDIRECT("'Plate map key'!"&amp;ADDRESS(TRUNC('Well calls each plate'!R7)+5,ROW()+1)),
INDIRECT("'Plate map key'!"&amp;ADDRESS(TRUNC('Well calls each plate'!R7)+6,ROW()+1))
)
)</f>
        <v>3.90625</v>
      </c>
      <c r="S7" s="61" cm="1">
        <f t="array" aca="1" ref="S7" ca="1">IF(
MOD('Well calls each plate'!S7,1)=0,
INDIRECT("'Plate map key'!"&amp;ADDRESS('Well calls each plate'!S7+5,ROW()+1)),
AVERAGE(
INDIRECT("'Plate map key'!"&amp;ADDRESS(TRUNC('Well calls each plate'!S7)+5,ROW()+1)),
INDIRECT("'Plate map key'!"&amp;ADDRESS(TRUNC('Well calls each plate'!S7)+6,ROW()+1))
)
)</f>
        <v>3.90625</v>
      </c>
      <c r="T7" s="61" cm="1">
        <f t="array" aca="1" ref="T7" ca="1">IF(
MOD('Well calls each plate'!T7,1)=0,
INDIRECT("'Plate map key'!"&amp;ADDRESS('Well calls each plate'!T7+5,ROW()+1)),
AVERAGE(
INDIRECT("'Plate map key'!"&amp;ADDRESS(TRUNC('Well calls each plate'!T7)+5,ROW()+1)),
INDIRECT("'Plate map key'!"&amp;ADDRESS(TRUNC('Well calls each plate'!T7)+6,ROW()+1))
)
)</f>
        <v>3.90625</v>
      </c>
      <c r="U7" s="61" cm="1">
        <f t="array" aca="1" ref="U7" ca="1">IF(
MOD('Well calls each plate'!U7,1)=0,
INDIRECT("'Plate map key'!"&amp;ADDRESS('Well calls each plate'!U7+5,ROW()+1)),
AVERAGE(
INDIRECT("'Plate map key'!"&amp;ADDRESS(TRUNC('Well calls each plate'!U7)+5,ROW()+1)),
INDIRECT("'Plate map key'!"&amp;ADDRESS(TRUNC('Well calls each plate'!U7)+6,ROW()+1))
)
)</f>
        <v>3.90625</v>
      </c>
      <c r="V7" s="61" cm="1">
        <f t="array" aca="1" ref="V7" ca="1">IF(
MOD('Well calls each plate'!V7,1)=0,
INDIRECT("'Plate map key'!"&amp;ADDRESS('Well calls each plate'!V7+5,ROW()+1)),
AVERAGE(
INDIRECT("'Plate map key'!"&amp;ADDRESS(TRUNC('Well calls each plate'!V7)+5,ROW()+1)),
INDIRECT("'Plate map key'!"&amp;ADDRESS(TRUNC('Well calls each plate'!V7)+6,ROW()+1))
)
)</f>
        <v>3.90625</v>
      </c>
      <c r="W7" s="61" cm="1">
        <f t="array" aca="1" ref="W7" ca="1">IF(
MOD('Well calls each plate'!W7,1)=0,
INDIRECT("'Plate map key'!"&amp;ADDRESS('Well calls each plate'!W7+5,ROW()+1)),
AVERAGE(
INDIRECT("'Plate map key'!"&amp;ADDRESS(TRUNC('Well calls each plate'!W7)+5,ROW()+1)),
INDIRECT("'Plate map key'!"&amp;ADDRESS(TRUNC('Well calls each plate'!W7)+6,ROW()+1))
)
)</f>
        <v>3.90625</v>
      </c>
      <c r="X7" s="61" cm="1">
        <f t="array" aca="1" ref="X7" ca="1">IF(
MOD('Well calls each plate'!X7,1)=0,
INDIRECT("'Plate map key'!"&amp;ADDRESS('Well calls each plate'!X7+5,ROW()+1)),
AVERAGE(
INDIRECT("'Plate map key'!"&amp;ADDRESS(TRUNC('Well calls each plate'!X7)+5,ROW()+1)),
INDIRECT("'Plate map key'!"&amp;ADDRESS(TRUNC('Well calls each plate'!X7)+6,ROW()+1))
)
)</f>
        <v>0.9765625</v>
      </c>
      <c r="Y7" s="61" cm="1">
        <f t="array" aca="1" ref="Y7" ca="1">IF(
MOD('Well calls each plate'!Y7,1)=0,
INDIRECT("'Plate map key'!"&amp;ADDRESS('Well calls each plate'!Y7+5,ROW()+1)),
AVERAGE(
INDIRECT("'Plate map key'!"&amp;ADDRESS(TRUNC('Well calls each plate'!Y7)+5,ROW()+1)),
INDIRECT("'Plate map key'!"&amp;ADDRESS(TRUNC('Well calls each plate'!Y7)+6,ROW()+1))
)
)</f>
        <v>0.732421875</v>
      </c>
      <c r="Z7" s="61" cm="1">
        <f t="array" aca="1" ref="Z7" ca="1">IF(
MOD('Well calls each plate'!Z7,1)=0,
INDIRECT("'Plate map key'!"&amp;ADDRESS('Well calls each plate'!Z7+5,ROW()+1)),
AVERAGE(
INDIRECT("'Plate map key'!"&amp;ADDRESS(TRUNC('Well calls each plate'!Z7)+5,ROW()+1)),
INDIRECT("'Plate map key'!"&amp;ADDRESS(TRUNC('Well calls each plate'!Z7)+6,ROW()+1))
)
)</f>
        <v>0.732421875</v>
      </c>
      <c r="AA7" s="61" cm="1">
        <f t="array" aca="1" ref="AA7" ca="1">IF(
MOD('Well calls each plate'!AA7,1)=0,
INDIRECT("'Plate map key'!"&amp;ADDRESS('Well calls each plate'!AA7+5,ROW()+1)),
AVERAGE(
INDIRECT("'Plate map key'!"&amp;ADDRESS(TRUNC('Well calls each plate'!AA7)+5,ROW()+1)),
INDIRECT("'Plate map key'!"&amp;ADDRESS(TRUNC('Well calls each plate'!AA7)+6,ROW()+1))
)
)</f>
        <v>0.244140625</v>
      </c>
      <c r="AB7" s="61" cm="1">
        <f t="array" aca="1" ref="AB7" ca="1">IF(
MOD('Well calls each plate'!AB7,1)=0,
INDIRECT("'Plate map key'!"&amp;ADDRESS('Well calls each plate'!AB7+5,ROW()+1)),
AVERAGE(
INDIRECT("'Plate map key'!"&amp;ADDRESS(TRUNC('Well calls each plate'!AB7)+5,ROW()+1)),
INDIRECT("'Plate map key'!"&amp;ADDRESS(TRUNC('Well calls each plate'!AB7)+6,ROW()+1))
)
)</f>
        <v>0.18310546875</v>
      </c>
      <c r="AC7" s="61" cm="1">
        <f t="array" aca="1" ref="AC7" ca="1">IF(
MOD('Well calls each plate'!AC7,1)=0,
INDIRECT("'Plate map key'!"&amp;ADDRESS('Well calls each plate'!AC7+5,ROW()+1)),
AVERAGE(
INDIRECT("'Plate map key'!"&amp;ADDRESS(TRUNC('Well calls each plate'!AC7)+5,ROW()+1)),
INDIRECT("'Plate map key'!"&amp;ADDRESS(TRUNC('Well calls each plate'!AC7)+6,ROW()+1))
)
)</f>
        <v>0.244140625</v>
      </c>
      <c r="AD7" s="61" cm="1">
        <f t="array" aca="1" ref="AD7" ca="1">IF(
MOD('Well calls each plate'!AD7,1)=0,
INDIRECT("'Plate map key'!"&amp;ADDRESS('Well calls each plate'!AD7+5,ROW()+1)),
AVERAGE(
INDIRECT("'Plate map key'!"&amp;ADDRESS(TRUNC('Well calls each plate'!AD7)+5,ROW()+1)),
INDIRECT("'Plate map key'!"&amp;ADDRESS(TRUNC('Well calls each plate'!AD7)+6,ROW()+1))
)
)</f>
        <v>0.9765625</v>
      </c>
      <c r="AE7" s="61" cm="1">
        <f t="array" aca="1" ref="AE7" ca="1">IF(
MOD('Well calls each plate'!AE7,1)=0,
INDIRECT("'Plate map key'!"&amp;ADDRESS('Well calls each plate'!AE7+5,ROW()+1)),
AVERAGE(
INDIRECT("'Plate map key'!"&amp;ADDRESS(TRUNC('Well calls each plate'!AE7)+5,ROW()+1)),
INDIRECT("'Plate map key'!"&amp;ADDRESS(TRUNC('Well calls each plate'!AE7)+6,ROW()+1))
)
)</f>
        <v>0.9765625</v>
      </c>
      <c r="AF7" s="61" cm="1">
        <f t="array" aca="1" ref="AF7" ca="1">IF(
MOD('Well calls each plate'!AF7,1)=0,
INDIRECT("'Plate map key'!"&amp;ADDRESS('Well calls each plate'!AF7+5,ROW()+1)),
AVERAGE(
INDIRECT("'Plate map key'!"&amp;ADDRESS(TRUNC('Well calls each plate'!AF7)+5,ROW()+1)),
INDIRECT("'Plate map key'!"&amp;ADDRESS(TRUNC('Well calls each plate'!AF7)+6,ROW()+1))
)
)</f>
        <v>0.9765625</v>
      </c>
      <c r="AG7" s="61" cm="1">
        <f t="array" aca="1" ref="AG7" ca="1">IF(
MOD('Well calls each plate'!AG7,1)=0,
INDIRECT("'Plate map key'!"&amp;ADDRESS('Well calls each plate'!AG7+5,ROW()+1)),
AVERAGE(
INDIRECT("'Plate map key'!"&amp;ADDRESS(TRUNC('Well calls each plate'!AG7)+5,ROW()+1)),
INDIRECT("'Plate map key'!"&amp;ADDRESS(TRUNC('Well calls each plate'!AG7)+6,ROW()+1))
)
)</f>
        <v>1.46484375</v>
      </c>
      <c r="AH7" s="61" cm="1">
        <f t="array" aca="1" ref="AH7" ca="1">IF(
MOD('Well calls each plate'!AH7,1)=0,
INDIRECT("'Plate map key'!"&amp;ADDRESS('Well calls each plate'!AH7+5,ROW()+1)),
AVERAGE(
INDIRECT("'Plate map key'!"&amp;ADDRESS(TRUNC('Well calls each plate'!AH7)+5,ROW()+1)),
INDIRECT("'Plate map key'!"&amp;ADDRESS(TRUNC('Well calls each plate'!AH7)+6,ROW()+1))
)
)</f>
        <v>0.732421875</v>
      </c>
      <c r="AI7" s="61" cm="1">
        <f t="array" aca="1" ref="AI7" ca="1">IF(
MOD('Well calls each plate'!AI7,1)=0,
INDIRECT("'Plate map key'!"&amp;ADDRESS('Well calls each plate'!AI7+5,ROW()+1)),
AVERAGE(
INDIRECT("'Plate map key'!"&amp;ADDRESS(TRUNC('Well calls each plate'!AI7)+5,ROW()+1)),
INDIRECT("'Plate map key'!"&amp;ADDRESS(TRUNC('Well calls each plate'!AI7)+6,ROW()+1))
)
)</f>
        <v>1.46484375</v>
      </c>
      <c r="AJ7" s="61" cm="1">
        <f t="array" aca="1" ref="AJ7" ca="1">IF(
MOD('Well calls each plate'!AJ7,1)=0,
INDIRECT("'Plate map key'!"&amp;ADDRESS('Well calls each plate'!AJ7+5,ROW()+1)),
AVERAGE(
INDIRECT("'Plate map key'!"&amp;ADDRESS(TRUNC('Well calls each plate'!AJ7)+5,ROW()+1)),
INDIRECT("'Plate map key'!"&amp;ADDRESS(TRUNC('Well calls each plate'!AJ7)+6,ROW()+1))
)
)</f>
        <v>3.90625</v>
      </c>
      <c r="AK7" s="61" cm="1">
        <f t="array" aca="1" ref="AK7" ca="1">IF(
MOD('Well calls each plate'!AK7,1)=0,
INDIRECT("'Plate map key'!"&amp;ADDRESS('Well calls each plate'!AK7+5,ROW()+1)),
AVERAGE(
INDIRECT("'Plate map key'!"&amp;ADDRESS(TRUNC('Well calls each plate'!AK7)+5,ROW()+1)),
INDIRECT("'Plate map key'!"&amp;ADDRESS(TRUNC('Well calls each plate'!AK7)+6,ROW()+1))
)
)</f>
        <v>3.90625</v>
      </c>
      <c r="AL7" s="61" cm="1">
        <f t="array" aca="1" ref="AL7" ca="1">IF(
MOD('Well calls each plate'!AL7,1)=0,
INDIRECT("'Plate map key'!"&amp;ADDRESS('Well calls each plate'!AL7+5,ROW()+1)),
AVERAGE(
INDIRECT("'Plate map key'!"&amp;ADDRESS(TRUNC('Well calls each plate'!AL7)+5,ROW()+1)),
INDIRECT("'Plate map key'!"&amp;ADDRESS(TRUNC('Well calls each plate'!AL7)+6,ROW()+1))
)
)</f>
        <v>3.90625</v>
      </c>
      <c r="AM7" s="61" cm="1">
        <f t="array" aca="1" ref="AM7" ca="1">IF(
MOD('Well calls each plate'!AM7,1)=0,
INDIRECT("'Plate map key'!"&amp;ADDRESS('Well calls each plate'!AM7+5,ROW()+1)),
AVERAGE(
INDIRECT("'Plate map key'!"&amp;ADDRESS(TRUNC('Well calls each plate'!AM7)+5,ROW()+1)),
INDIRECT("'Plate map key'!"&amp;ADDRESS(TRUNC('Well calls each plate'!AM7)+6,ROW()+1))
)
)</f>
        <v>3.90625</v>
      </c>
      <c r="AN7" s="61" cm="1">
        <f t="array" aca="1" ref="AN7" ca="1">IF(
MOD('Well calls each plate'!AN7,1)=0,
INDIRECT("'Plate map key'!"&amp;ADDRESS('Well calls each plate'!AN7+5,ROW()+1)),
AVERAGE(
INDIRECT("'Plate map key'!"&amp;ADDRESS(TRUNC('Well calls each plate'!AN7)+5,ROW()+1)),
INDIRECT("'Plate map key'!"&amp;ADDRESS(TRUNC('Well calls each plate'!AN7)+6,ROW()+1))
)
)</f>
        <v>3.90625</v>
      </c>
      <c r="AO7" s="61" cm="1">
        <f t="array" aca="1" ref="AO7" ca="1">IF(
MOD('Well calls each plate'!AO7,1)=0,
INDIRECT("'Plate map key'!"&amp;ADDRESS('Well calls each plate'!AO7+5,ROW()+1)),
AVERAGE(
INDIRECT("'Plate map key'!"&amp;ADDRESS(TRUNC('Well calls each plate'!AO7)+5,ROW()+1)),
INDIRECT("'Plate map key'!"&amp;ADDRESS(TRUNC('Well calls each plate'!AO7)+6,ROW()+1))
)
)</f>
        <v>3.90625</v>
      </c>
      <c r="AP7" s="61" cm="1">
        <f t="array" aca="1" ref="AP7" ca="1">IF(
MOD('Well calls each plate'!AP7,1)=0,
INDIRECT("'Plate map key'!"&amp;ADDRESS('Well calls each plate'!AP7+5,ROW()+1)),
AVERAGE(
INDIRECT("'Plate map key'!"&amp;ADDRESS(TRUNC('Well calls each plate'!AP7)+5,ROW()+1)),
INDIRECT("'Plate map key'!"&amp;ADDRESS(TRUNC('Well calls each plate'!AP7)+6,ROW()+1))
)
)</f>
        <v>3.90625</v>
      </c>
      <c r="AQ7" s="61" cm="1">
        <f t="array" aca="1" ref="AQ7" ca="1">IF(
MOD('Well calls each plate'!AQ7,1)=0,
INDIRECT("'Plate map key'!"&amp;ADDRESS('Well calls each plate'!AQ7+5,ROW()+1)),
AVERAGE(
INDIRECT("'Plate map key'!"&amp;ADDRESS(TRUNC('Well calls each plate'!AQ7)+5,ROW()+1)),
INDIRECT("'Plate map key'!"&amp;ADDRESS(TRUNC('Well calls each plate'!AQ7)+6,ROW()+1))
)
)</f>
        <v>3.90625</v>
      </c>
      <c r="AR7" s="61" cm="1">
        <f t="array" aca="1" ref="AR7" ca="1">IF(
MOD('Well calls each plate'!AR7,1)=0,
INDIRECT("'Plate map key'!"&amp;ADDRESS('Well calls each plate'!AR7+5,ROW()+1)),
AVERAGE(
INDIRECT("'Plate map key'!"&amp;ADDRESS(TRUNC('Well calls each plate'!AR7)+5,ROW()+1)),
INDIRECT("'Plate map key'!"&amp;ADDRESS(TRUNC('Well calls each plate'!AR7)+6,ROW()+1))
)
)</f>
        <v>3.90625</v>
      </c>
      <c r="AS7" s="61" cm="1">
        <f t="array" aca="1" ref="AS7" ca="1">IF(
MOD('Well calls each plate'!AS7,1)=0,
INDIRECT("'Plate map key'!"&amp;ADDRESS('Well calls each plate'!AS7+5,ROW()+1)),
AVERAGE(
INDIRECT("'Plate map key'!"&amp;ADDRESS(TRUNC('Well calls each plate'!AS7)+5,ROW()+1)),
INDIRECT("'Plate map key'!"&amp;ADDRESS(TRUNC('Well calls each plate'!AS7)+6,ROW()+1))
)
)</f>
        <v>1.953125</v>
      </c>
      <c r="AT7" s="61" cm="1">
        <f t="array" aca="1" ref="AT7" ca="1">IF(
MOD('Well calls each plate'!AT7,1)=0,
INDIRECT("'Plate map key'!"&amp;ADDRESS('Well calls each plate'!AT7+5,ROW()+1)),
AVERAGE(
INDIRECT("'Plate map key'!"&amp;ADDRESS(TRUNC('Well calls each plate'!AT7)+5,ROW()+1)),
INDIRECT("'Plate map key'!"&amp;ADDRESS(TRUNC('Well calls each plate'!AT7)+6,ROW()+1))
)
)</f>
        <v>1.953125</v>
      </c>
      <c r="AU7" s="61" cm="1">
        <f t="array" aca="1" ref="AU7" ca="1">IF(
MOD('Well calls each plate'!AU7,1)=0,
INDIRECT("'Plate map key'!"&amp;ADDRESS('Well calls each plate'!AU7+5,ROW()+1)),
AVERAGE(
INDIRECT("'Plate map key'!"&amp;ADDRESS(TRUNC('Well calls each plate'!AU7)+5,ROW()+1)),
INDIRECT("'Plate map key'!"&amp;ADDRESS(TRUNC('Well calls each plate'!AU7)+6,ROW()+1))
)
)</f>
        <v>2.9296875</v>
      </c>
      <c r="AV7" s="61" cm="1">
        <f t="array" aca="1" ref="AV7" ca="1">IF(
MOD('Well calls each plate'!AV7,1)=0,
INDIRECT("'Plate map key'!"&amp;ADDRESS('Well calls each plate'!AV7+5,ROW()+1)),
AVERAGE(
INDIRECT("'Plate map key'!"&amp;ADDRESS(TRUNC('Well calls each plate'!AV7)+5,ROW()+1)),
INDIRECT("'Plate map key'!"&amp;ADDRESS(TRUNC('Well calls each plate'!AV7)+6,ROW()+1))
)
)</f>
        <v>0.244140625</v>
      </c>
      <c r="AW7" s="61" cm="1">
        <f t="array" aca="1" ref="AW7" ca="1">IF(
MOD('Well calls each plate'!AW7,1)=0,
INDIRECT("'Plate map key'!"&amp;ADDRESS('Well calls each plate'!AW7+5,ROW()+1)),
AVERAGE(
INDIRECT("'Plate map key'!"&amp;ADDRESS(TRUNC('Well calls each plate'!AW7)+5,ROW()+1)),
INDIRECT("'Plate map key'!"&amp;ADDRESS(TRUNC('Well calls each plate'!AW7)+6,ROW()+1))
)
)</f>
        <v>0.244140625</v>
      </c>
      <c r="AX7" s="61" cm="1">
        <f t="array" aca="1" ref="AX7" ca="1">IF(
MOD('Well calls each plate'!AX7,1)=0,
INDIRECT("'Plate map key'!"&amp;ADDRESS('Well calls each plate'!AX7+5,ROW()+1)),
AVERAGE(
INDIRECT("'Plate map key'!"&amp;ADDRESS(TRUNC('Well calls each plate'!AX7)+5,ROW()+1)),
INDIRECT("'Plate map key'!"&amp;ADDRESS(TRUNC('Well calls each plate'!AX7)+6,ROW()+1))
)
)</f>
        <v>0.244140625</v>
      </c>
      <c r="AY7" s="61" cm="1">
        <f t="array" aca="1" ref="AY7" ca="1">IF(
MOD('Well calls each plate'!AY7,1)=0,
INDIRECT("'Plate map key'!"&amp;ADDRESS('Well calls each plate'!AY7+5,ROW()+1)),
AVERAGE(
INDIRECT("'Plate map key'!"&amp;ADDRESS(TRUNC('Well calls each plate'!AY7)+5,ROW()+1)),
INDIRECT("'Plate map key'!"&amp;ADDRESS(TRUNC('Well calls each plate'!AY7)+6,ROW()+1))
)
)</f>
        <v>3.90625</v>
      </c>
      <c r="AZ7" s="61" cm="1">
        <f t="array" aca="1" ref="AZ7" ca="1">IF(
MOD('Well calls each plate'!AZ7,1)=0,
INDIRECT("'Plate map key'!"&amp;ADDRESS('Well calls each plate'!AZ7+5,ROW()+1)),
AVERAGE(
INDIRECT("'Plate map key'!"&amp;ADDRESS(TRUNC('Well calls each plate'!AZ7)+5,ROW()+1)),
INDIRECT("'Plate map key'!"&amp;ADDRESS(TRUNC('Well calls each plate'!AZ7)+6,ROW()+1))
)
)</f>
        <v>3.90625</v>
      </c>
      <c r="BA7" s="61" cm="1">
        <f t="array" aca="1" ref="BA7" ca="1">IF(
MOD('Well calls each plate'!BA7,1)=0,
INDIRECT("'Plate map key'!"&amp;ADDRESS('Well calls each plate'!BA7+5,ROW()+1)),
AVERAGE(
INDIRECT("'Plate map key'!"&amp;ADDRESS(TRUNC('Well calls each plate'!BA7)+5,ROW()+1)),
INDIRECT("'Plate map key'!"&amp;ADDRESS(TRUNC('Well calls each plate'!BA7)+6,ROW()+1))
)
)</f>
        <v>3.90625</v>
      </c>
      <c r="BB7" s="61" cm="1">
        <f t="array" aca="1" ref="BB7" ca="1">IF(
MOD('Well calls each plate'!BB7,1)=0,
INDIRECT("'Plate map key'!"&amp;ADDRESS('Well calls each plate'!BB7+5,ROW()+1)),
AVERAGE(
INDIRECT("'Plate map key'!"&amp;ADDRESS(TRUNC('Well calls each plate'!BB7)+5,ROW()+1)),
INDIRECT("'Plate map key'!"&amp;ADDRESS(TRUNC('Well calls each plate'!BB7)+6,ROW()+1))
)
)</f>
        <v>2.9296875</v>
      </c>
      <c r="BC7" s="61" cm="1">
        <f t="array" aca="1" ref="BC7" ca="1">IF(
MOD('Well calls each plate'!BC7,1)=0,
INDIRECT("'Plate map key'!"&amp;ADDRESS('Well calls each plate'!BC7+5,ROW()+1)),
AVERAGE(
INDIRECT("'Plate map key'!"&amp;ADDRESS(TRUNC('Well calls each plate'!BC7)+5,ROW()+1)),
INDIRECT("'Plate map key'!"&amp;ADDRESS(TRUNC('Well calls each plate'!BC7)+6,ROW()+1))
)
)</f>
        <v>2.9296875</v>
      </c>
      <c r="BD7" s="61" cm="1">
        <f t="array" aca="1" ref="BD7" ca="1">IF(
MOD('Well calls each plate'!BD7,1)=0,
INDIRECT("'Plate map key'!"&amp;ADDRESS('Well calls each plate'!BD7+5,ROW()+1)),
AVERAGE(
INDIRECT("'Plate map key'!"&amp;ADDRESS(TRUNC('Well calls each plate'!BD7)+5,ROW()+1)),
INDIRECT("'Plate map key'!"&amp;ADDRESS(TRUNC('Well calls each plate'!BD7)+6,ROW()+1))
)
)</f>
        <v>2.9296875</v>
      </c>
      <c r="BE7" s="61" cm="1">
        <f t="array" aca="1" ref="BE7" ca="1">IF(
MOD('Well calls each plate'!BE7,1)=0,
INDIRECT("'Plate map key'!"&amp;ADDRESS('Well calls each plate'!BE7+5,ROW()+1)),
AVERAGE(
INDIRECT("'Plate map key'!"&amp;ADDRESS(TRUNC('Well calls each plate'!BE7)+5,ROW()+1)),
INDIRECT("'Plate map key'!"&amp;ADDRESS(TRUNC('Well calls each plate'!BE7)+6,ROW()+1))
)
)</f>
        <v>1.953125</v>
      </c>
      <c r="BF7" s="61" cm="1">
        <f t="array" aca="1" ref="BF7" ca="1">IF(
MOD('Well calls each plate'!BF7,1)=0,
INDIRECT("'Plate map key'!"&amp;ADDRESS('Well calls each plate'!BF7+5,ROW()+1)),
AVERAGE(
INDIRECT("'Plate map key'!"&amp;ADDRESS(TRUNC('Well calls each plate'!BF7)+5,ROW()+1)),
INDIRECT("'Plate map key'!"&amp;ADDRESS(TRUNC('Well calls each plate'!BF7)+6,ROW()+1))
)
)</f>
        <v>1.953125</v>
      </c>
      <c r="BG7" s="61" cm="1">
        <f t="array" aca="1" ref="BG7" ca="1">IF(
MOD('Well calls each plate'!BG7,1)=0,
INDIRECT("'Plate map key'!"&amp;ADDRESS('Well calls each plate'!BG7+5,ROW()+1)),
AVERAGE(
INDIRECT("'Plate map key'!"&amp;ADDRESS(TRUNC('Well calls each plate'!BG7)+5,ROW()+1)),
INDIRECT("'Plate map key'!"&amp;ADDRESS(TRUNC('Well calls each plate'!BG7)+6,ROW()+1))
)
)</f>
        <v>1.953125</v>
      </c>
      <c r="BH7" s="61" cm="1">
        <f t="array" aca="1" ref="BH7" ca="1">IF(
MOD('Well calls each plate'!BH7,1)=0,
INDIRECT("'Plate map key'!"&amp;ADDRESS('Well calls each plate'!BH7+5,ROW()+1)),
AVERAGE(
INDIRECT("'Plate map key'!"&amp;ADDRESS(TRUNC('Well calls each plate'!BH7)+5,ROW()+1)),
INDIRECT("'Plate map key'!"&amp;ADDRESS(TRUNC('Well calls each plate'!BH7)+6,ROW()+1))
)
)</f>
        <v>3.90625</v>
      </c>
      <c r="BI7" s="61" cm="1">
        <f t="array" aca="1" ref="BI7" ca="1">IF(
MOD('Well calls each plate'!BI7,1)=0,
INDIRECT("'Plate map key'!"&amp;ADDRESS('Well calls each plate'!BI7+5,ROW()+1)),
AVERAGE(
INDIRECT("'Plate map key'!"&amp;ADDRESS(TRUNC('Well calls each plate'!BI7)+5,ROW()+1)),
INDIRECT("'Plate map key'!"&amp;ADDRESS(TRUNC('Well calls each plate'!BI7)+6,ROW()+1))
)
)</f>
        <v>3.90625</v>
      </c>
      <c r="BJ7" s="61" cm="1">
        <f t="array" aca="1" ref="BJ7" ca="1">IF(
MOD('Well calls each plate'!BJ7,1)=0,
INDIRECT("'Plate map key'!"&amp;ADDRESS('Well calls each plate'!BJ7+5,ROW()+1)),
AVERAGE(
INDIRECT("'Plate map key'!"&amp;ADDRESS(TRUNC('Well calls each plate'!BJ7)+5,ROW()+1)),
INDIRECT("'Plate map key'!"&amp;ADDRESS(TRUNC('Well calls each plate'!BJ7)+6,ROW()+1))
)
)</f>
        <v>3.90625</v>
      </c>
      <c r="BK7" s="61" cm="1">
        <f t="array" aca="1" ref="BK7" ca="1">IF(
MOD('Well calls each plate'!BK7,1)=0,
INDIRECT("'Plate map key'!"&amp;ADDRESS('Well calls each plate'!BK7+5,ROW()+1)),
AVERAGE(
INDIRECT("'Plate map key'!"&amp;ADDRESS(TRUNC('Well calls each plate'!BK7)+5,ROW()+1)),
INDIRECT("'Plate map key'!"&amp;ADDRESS(TRUNC('Well calls each plate'!BK7)+6,ROW()+1))
)
)</f>
        <v>7.8125</v>
      </c>
      <c r="BL7" s="61" cm="1">
        <f t="array" aca="1" ref="BL7" ca="1">IF(
MOD('Well calls each plate'!BL7,1)=0,
INDIRECT("'Plate map key'!"&amp;ADDRESS('Well calls each plate'!BL7+5,ROW()+1)),
AVERAGE(
INDIRECT("'Plate map key'!"&amp;ADDRESS(TRUNC('Well calls each plate'!BL7)+5,ROW()+1)),
INDIRECT("'Plate map key'!"&amp;ADDRESS(TRUNC('Well calls each plate'!BL7)+6,ROW()+1))
)
)</f>
        <v>7.8125</v>
      </c>
      <c r="BM7" s="61" cm="1">
        <f t="array" aca="1" ref="BM7" ca="1">IF(
MOD('Well calls each plate'!BM7,1)=0,
INDIRECT("'Plate map key'!"&amp;ADDRESS('Well calls each plate'!BM7+5,ROW()+1)),
AVERAGE(
INDIRECT("'Plate map key'!"&amp;ADDRESS(TRUNC('Well calls each plate'!BM7)+5,ROW()+1)),
INDIRECT("'Plate map key'!"&amp;ADDRESS(TRUNC('Well calls each plate'!BM7)+6,ROW()+1))
)
)</f>
        <v>7.8125</v>
      </c>
    </row>
    <row r="8" spans="2:65" x14ac:dyDescent="0.2">
      <c r="B8" s="56" t="s">
        <v>5</v>
      </c>
      <c r="C8" s="61" cm="1">
        <f t="array" aca="1" ref="C8" ca="1">IF(
MOD('Well calls each plate'!C8,1)=0,
INDIRECT("'Plate map key'!"&amp;ADDRESS('Well calls each plate'!C8+5,ROW()+1)),
AVERAGE(
INDIRECT("'Plate map key'!"&amp;ADDRESS(TRUNC('Well calls each plate'!C8)+5,ROW()+1)),
INDIRECT("'Plate map key'!"&amp;ADDRESS(TRUNC('Well calls each plate'!C8)+6,ROW()+1))
)
)</f>
        <v>1.5</v>
      </c>
      <c r="D8" s="61" cm="1">
        <f t="array" aca="1" ref="D8" ca="1">IF(
MOD('Well calls each plate'!D8,1)=0,
INDIRECT("'Plate map key'!"&amp;ADDRESS('Well calls each plate'!D8+5,ROW()+1)),
AVERAGE(
INDIRECT("'Plate map key'!"&amp;ADDRESS(TRUNC('Well calls each plate'!D8)+5,ROW()+1)),
INDIRECT("'Plate map key'!"&amp;ADDRESS(TRUNC('Well calls each plate'!D8)+6,ROW()+1))
)
)</f>
        <v>1</v>
      </c>
      <c r="E8" s="61" cm="1">
        <f t="array" aca="1" ref="E8" ca="1">IF(
MOD('Well calls each plate'!E8,1)=0,
INDIRECT("'Plate map key'!"&amp;ADDRESS('Well calls each plate'!E8+5,ROW()+1)),
AVERAGE(
INDIRECT("'Plate map key'!"&amp;ADDRESS(TRUNC('Well calls each plate'!E8)+5,ROW()+1)),
INDIRECT("'Plate map key'!"&amp;ADDRESS(TRUNC('Well calls each plate'!E8)+6,ROW()+1))
)
)</f>
        <v>1</v>
      </c>
      <c r="F8" s="61" cm="1">
        <f t="array" aca="1" ref="F8" ca="1">IF(
MOD('Well calls each plate'!F8,1)=0,
INDIRECT("'Plate map key'!"&amp;ADDRESS('Well calls each plate'!F8+5,ROW()+1)),
AVERAGE(
INDIRECT("'Plate map key'!"&amp;ADDRESS(TRUNC('Well calls each plate'!F8)+5,ROW()+1)),
INDIRECT("'Plate map key'!"&amp;ADDRESS(TRUNC('Well calls each plate'!F8)+6,ROW()+1))
)
)</f>
        <v>0.75</v>
      </c>
      <c r="G8" s="61" cm="1">
        <f t="array" aca="1" ref="G8" ca="1">IF(
MOD('Well calls each plate'!G8,1)=0,
INDIRECT("'Plate map key'!"&amp;ADDRESS('Well calls each plate'!G8+5,ROW()+1)),
AVERAGE(
INDIRECT("'Plate map key'!"&amp;ADDRESS(TRUNC('Well calls each plate'!G8)+5,ROW()+1)),
INDIRECT("'Plate map key'!"&amp;ADDRESS(TRUNC('Well calls each plate'!G8)+6,ROW()+1))
)
)</f>
        <v>0.75</v>
      </c>
      <c r="H8" s="61" cm="1">
        <f t="array" aca="1" ref="H8" ca="1">IF(
MOD('Well calls each plate'!H8,1)=0,
INDIRECT("'Plate map key'!"&amp;ADDRESS('Well calls each plate'!H8+5,ROW()+1)),
AVERAGE(
INDIRECT("'Plate map key'!"&amp;ADDRESS(TRUNC('Well calls each plate'!H8)+5,ROW()+1)),
INDIRECT("'Plate map key'!"&amp;ADDRESS(TRUNC('Well calls each plate'!H8)+6,ROW()+1))
)
)</f>
        <v>0.75</v>
      </c>
      <c r="I8" s="61" cm="1">
        <f t="array" aca="1" ref="I8" ca="1">IF(
MOD('Well calls each plate'!I8,1)=0,
INDIRECT("'Plate map key'!"&amp;ADDRESS('Well calls each plate'!I8+5,ROW()+1)),
AVERAGE(
INDIRECT("'Plate map key'!"&amp;ADDRESS(TRUNC('Well calls each plate'!I8)+5,ROW()+1)),
INDIRECT("'Plate map key'!"&amp;ADDRESS(TRUNC('Well calls each plate'!I8)+6,ROW()+1))
)
)</f>
        <v>8</v>
      </c>
      <c r="J8" s="61" cm="1">
        <f t="array" aca="1" ref="J8" ca="1">IF(
MOD('Well calls each plate'!J8,1)=0,
INDIRECT("'Plate map key'!"&amp;ADDRESS('Well calls each plate'!J8+5,ROW()+1)),
AVERAGE(
INDIRECT("'Plate map key'!"&amp;ADDRESS(TRUNC('Well calls each plate'!J8)+5,ROW()+1)),
INDIRECT("'Plate map key'!"&amp;ADDRESS(TRUNC('Well calls each plate'!J8)+6,ROW()+1))
)
)</f>
        <v>8</v>
      </c>
      <c r="K8" s="61" cm="1">
        <f t="array" aca="1" ref="K8" ca="1">IF(
MOD('Well calls each plate'!K8,1)=0,
INDIRECT("'Plate map key'!"&amp;ADDRESS('Well calls each plate'!K8+5,ROW()+1)),
AVERAGE(
INDIRECT("'Plate map key'!"&amp;ADDRESS(TRUNC('Well calls each plate'!K8)+5,ROW()+1)),
INDIRECT("'Plate map key'!"&amp;ADDRESS(TRUNC('Well calls each plate'!K8)+6,ROW()+1))
)
)</f>
        <v>8</v>
      </c>
      <c r="L8" s="61" cm="1">
        <f t="array" aca="1" ref="L8" ca="1">IF(
MOD('Well calls each plate'!L8,1)=0,
INDIRECT("'Plate map key'!"&amp;ADDRESS('Well calls each plate'!L8+5,ROW()+1)),
AVERAGE(
INDIRECT("'Plate map key'!"&amp;ADDRESS(TRUNC('Well calls each plate'!L8)+5,ROW()+1)),
INDIRECT("'Plate map key'!"&amp;ADDRESS(TRUNC('Well calls each plate'!L8)+6,ROW()+1))
)
)</f>
        <v>3</v>
      </c>
      <c r="M8" s="61" cm="1">
        <f t="array" aca="1" ref="M8" ca="1">IF(
MOD('Well calls each plate'!M8,1)=0,
INDIRECT("'Plate map key'!"&amp;ADDRESS('Well calls each plate'!M8+5,ROW()+1)),
AVERAGE(
INDIRECT("'Plate map key'!"&amp;ADDRESS(TRUNC('Well calls each plate'!M8)+5,ROW()+1)),
INDIRECT("'Plate map key'!"&amp;ADDRESS(TRUNC('Well calls each plate'!M8)+6,ROW()+1))
)
)</f>
        <v>1.5</v>
      </c>
      <c r="N8" s="61" cm="1">
        <f t="array" aca="1" ref="N8" ca="1">IF(
MOD('Well calls each plate'!N8,1)=0,
INDIRECT("'Plate map key'!"&amp;ADDRESS('Well calls each plate'!N8+5,ROW()+1)),
AVERAGE(
INDIRECT("'Plate map key'!"&amp;ADDRESS(TRUNC('Well calls each plate'!N8)+5,ROW()+1)),
INDIRECT("'Plate map key'!"&amp;ADDRESS(TRUNC('Well calls each plate'!N8)+6,ROW()+1))
)
)</f>
        <v>1.5</v>
      </c>
      <c r="O8" s="61" cm="1">
        <f t="array" aca="1" ref="O8" ca="1">IF(
MOD('Well calls each plate'!O8,1)=0,
INDIRECT("'Plate map key'!"&amp;ADDRESS('Well calls each plate'!O8+5,ROW()+1)),
AVERAGE(
INDIRECT("'Plate map key'!"&amp;ADDRESS(TRUNC('Well calls each plate'!O8)+5,ROW()+1)),
INDIRECT("'Plate map key'!"&amp;ADDRESS(TRUNC('Well calls each plate'!O8)+6,ROW()+1))
)
)</f>
        <v>64</v>
      </c>
      <c r="P8" s="61" cm="1">
        <f t="array" aca="1" ref="P8" ca="1">IF(
MOD('Well calls each plate'!P8,1)=0,
INDIRECT("'Plate map key'!"&amp;ADDRESS('Well calls each plate'!P8+5,ROW()+1)),
AVERAGE(
INDIRECT("'Plate map key'!"&amp;ADDRESS(TRUNC('Well calls each plate'!P8)+5,ROW()+1)),
INDIRECT("'Plate map key'!"&amp;ADDRESS(TRUNC('Well calls each plate'!P8)+6,ROW()+1))
)
)</f>
        <v>64</v>
      </c>
      <c r="Q8" s="61" cm="1">
        <f t="array" aca="1" ref="Q8" ca="1">IF(
MOD('Well calls each plate'!Q8,1)=0,
INDIRECT("'Plate map key'!"&amp;ADDRESS('Well calls each plate'!Q8+5,ROW()+1)),
AVERAGE(
INDIRECT("'Plate map key'!"&amp;ADDRESS(TRUNC('Well calls each plate'!Q8)+5,ROW()+1)),
INDIRECT("'Plate map key'!"&amp;ADDRESS(TRUNC('Well calls each plate'!Q8)+6,ROW()+1))
)
)</f>
        <v>64</v>
      </c>
      <c r="R8" s="61" cm="1">
        <f t="array" aca="1" ref="R8" ca="1">IF(
MOD('Well calls each plate'!R8,1)=0,
INDIRECT("'Plate map key'!"&amp;ADDRESS('Well calls each plate'!R8+5,ROW()+1)),
AVERAGE(
INDIRECT("'Plate map key'!"&amp;ADDRESS(TRUNC('Well calls each plate'!R8)+5,ROW()+1)),
INDIRECT("'Plate map key'!"&amp;ADDRESS(TRUNC('Well calls each plate'!R8)+6,ROW()+1))
)
)</f>
        <v>0.75</v>
      </c>
      <c r="S8" s="61" cm="1">
        <f t="array" aca="1" ref="S8" ca="1">IF(
MOD('Well calls each plate'!S8,1)=0,
INDIRECT("'Plate map key'!"&amp;ADDRESS('Well calls each plate'!S8+5,ROW()+1)),
AVERAGE(
INDIRECT("'Plate map key'!"&amp;ADDRESS(TRUNC('Well calls each plate'!S8)+5,ROW()+1)),
INDIRECT("'Plate map key'!"&amp;ADDRESS(TRUNC('Well calls each plate'!S8)+6,ROW()+1))
)
)</f>
        <v>0.75</v>
      </c>
      <c r="T8" s="61" cm="1">
        <f t="array" aca="1" ref="T8" ca="1">IF(
MOD('Well calls each plate'!T8,1)=0,
INDIRECT("'Plate map key'!"&amp;ADDRESS('Well calls each plate'!T8+5,ROW()+1)),
AVERAGE(
INDIRECT("'Plate map key'!"&amp;ADDRESS(TRUNC('Well calls each plate'!T8)+5,ROW()+1)),
INDIRECT("'Plate map key'!"&amp;ADDRESS(TRUNC('Well calls each plate'!T8)+6,ROW()+1))
)
)</f>
        <v>0.75</v>
      </c>
      <c r="U8" s="61" cm="1">
        <f t="array" aca="1" ref="U8" ca="1">IF(
MOD('Well calls each plate'!U8,1)=0,
INDIRECT("'Plate map key'!"&amp;ADDRESS('Well calls each plate'!U8+5,ROW()+1)),
AVERAGE(
INDIRECT("'Plate map key'!"&amp;ADDRESS(TRUNC('Well calls each plate'!U8)+5,ROW()+1)),
INDIRECT("'Plate map key'!"&amp;ADDRESS(TRUNC('Well calls each plate'!U8)+6,ROW()+1))
)
)</f>
        <v>1.5</v>
      </c>
      <c r="V8" s="61" cm="1">
        <f t="array" aca="1" ref="V8" ca="1">IF(
MOD('Well calls each plate'!V8,1)=0,
INDIRECT("'Plate map key'!"&amp;ADDRESS('Well calls each plate'!V8+5,ROW()+1)),
AVERAGE(
INDIRECT("'Plate map key'!"&amp;ADDRESS(TRUNC('Well calls each plate'!V8)+5,ROW()+1)),
INDIRECT("'Plate map key'!"&amp;ADDRESS(TRUNC('Well calls each plate'!V8)+6,ROW()+1))
)
)</f>
        <v>2</v>
      </c>
      <c r="W8" s="61" cm="1">
        <f t="array" aca="1" ref="W8" ca="1">IF(
MOD('Well calls each plate'!W8,1)=0,
INDIRECT("'Plate map key'!"&amp;ADDRESS('Well calls each plate'!W8+5,ROW()+1)),
AVERAGE(
INDIRECT("'Plate map key'!"&amp;ADDRESS(TRUNC('Well calls each plate'!W8)+5,ROW()+1)),
INDIRECT("'Plate map key'!"&amp;ADDRESS(TRUNC('Well calls each plate'!W8)+6,ROW()+1))
)
)</f>
        <v>2</v>
      </c>
      <c r="X8" s="61" cm="1">
        <f t="array" aca="1" ref="X8" ca="1">IF(
MOD('Well calls each plate'!X8,1)=0,
INDIRECT("'Plate map key'!"&amp;ADDRESS('Well calls each plate'!X8+5,ROW()+1)),
AVERAGE(
INDIRECT("'Plate map key'!"&amp;ADDRESS(TRUNC('Well calls each plate'!X8)+5,ROW()+1)),
INDIRECT("'Plate map key'!"&amp;ADDRESS(TRUNC('Well calls each plate'!X8)+6,ROW()+1))
)
)</f>
        <v>2</v>
      </c>
      <c r="Y8" s="61" cm="1">
        <f t="array" aca="1" ref="Y8" ca="1">IF(
MOD('Well calls each plate'!Y8,1)=0,
INDIRECT("'Plate map key'!"&amp;ADDRESS('Well calls each plate'!Y8+5,ROW()+1)),
AVERAGE(
INDIRECT("'Plate map key'!"&amp;ADDRESS(TRUNC('Well calls each plate'!Y8)+5,ROW()+1)),
INDIRECT("'Plate map key'!"&amp;ADDRESS(TRUNC('Well calls each plate'!Y8)+6,ROW()+1))
)
)</f>
        <v>2</v>
      </c>
      <c r="Z8" s="61" cm="1">
        <f t="array" aca="1" ref="Z8" ca="1">IF(
MOD('Well calls each plate'!Z8,1)=0,
INDIRECT("'Plate map key'!"&amp;ADDRESS('Well calls each plate'!Z8+5,ROW()+1)),
AVERAGE(
INDIRECT("'Plate map key'!"&amp;ADDRESS(TRUNC('Well calls each plate'!Z8)+5,ROW()+1)),
INDIRECT("'Plate map key'!"&amp;ADDRESS(TRUNC('Well calls each plate'!Z8)+6,ROW()+1))
)
)</f>
        <v>2</v>
      </c>
      <c r="AA8" s="61" cm="1">
        <f t="array" aca="1" ref="AA8" ca="1">IF(
MOD('Well calls each plate'!AA8,1)=0,
INDIRECT("'Plate map key'!"&amp;ADDRESS('Well calls each plate'!AA8+5,ROW()+1)),
AVERAGE(
INDIRECT("'Plate map key'!"&amp;ADDRESS(TRUNC('Well calls each plate'!AA8)+5,ROW()+1)),
INDIRECT("'Plate map key'!"&amp;ADDRESS(TRUNC('Well calls each plate'!AA8)+6,ROW()+1))
)
)</f>
        <v>0.75</v>
      </c>
      <c r="AB8" s="61" cm="1">
        <f t="array" aca="1" ref="AB8" ca="1">IF(
MOD('Well calls each plate'!AB8,1)=0,
INDIRECT("'Plate map key'!"&amp;ADDRESS('Well calls each plate'!AB8+5,ROW()+1)),
AVERAGE(
INDIRECT("'Plate map key'!"&amp;ADDRESS(TRUNC('Well calls each plate'!AB8)+5,ROW()+1)),
INDIRECT("'Plate map key'!"&amp;ADDRESS(TRUNC('Well calls each plate'!AB8)+6,ROW()+1))
)
)</f>
        <v>0.75</v>
      </c>
      <c r="AC8" s="61" cm="1">
        <f t="array" aca="1" ref="AC8" ca="1">IF(
MOD('Well calls each plate'!AC8,1)=0,
INDIRECT("'Plate map key'!"&amp;ADDRESS('Well calls each plate'!AC8+5,ROW()+1)),
AVERAGE(
INDIRECT("'Plate map key'!"&amp;ADDRESS(TRUNC('Well calls each plate'!AC8)+5,ROW()+1)),
INDIRECT("'Plate map key'!"&amp;ADDRESS(TRUNC('Well calls each plate'!AC8)+6,ROW()+1))
)
)</f>
        <v>0.75</v>
      </c>
      <c r="AD8" s="61" cm="1">
        <f t="array" aca="1" ref="AD8" ca="1">IF(
MOD('Well calls each plate'!AD8,1)=0,
INDIRECT("'Plate map key'!"&amp;ADDRESS('Well calls each plate'!AD8+5,ROW()+1)),
AVERAGE(
INDIRECT("'Plate map key'!"&amp;ADDRESS(TRUNC('Well calls each plate'!AD8)+5,ROW()+1)),
INDIRECT("'Plate map key'!"&amp;ADDRESS(TRUNC('Well calls each plate'!AD8)+6,ROW()+1))
)
)</f>
        <v>2</v>
      </c>
      <c r="AE8" s="61" cm="1">
        <f t="array" aca="1" ref="AE8" ca="1">IF(
MOD('Well calls each plate'!AE8,1)=0,
INDIRECT("'Plate map key'!"&amp;ADDRESS('Well calls each plate'!AE8+5,ROW()+1)),
AVERAGE(
INDIRECT("'Plate map key'!"&amp;ADDRESS(TRUNC('Well calls each plate'!AE8)+5,ROW()+1)),
INDIRECT("'Plate map key'!"&amp;ADDRESS(TRUNC('Well calls each plate'!AE8)+6,ROW()+1))
)
)</f>
        <v>2</v>
      </c>
      <c r="AF8" s="61" cm="1">
        <f t="array" aca="1" ref="AF8" ca="1">IF(
MOD('Well calls each plate'!AF8,1)=0,
INDIRECT("'Plate map key'!"&amp;ADDRESS('Well calls each plate'!AF8+5,ROW()+1)),
AVERAGE(
INDIRECT("'Plate map key'!"&amp;ADDRESS(TRUNC('Well calls each plate'!AF8)+5,ROW()+1)),
INDIRECT("'Plate map key'!"&amp;ADDRESS(TRUNC('Well calls each plate'!AF8)+6,ROW()+1))
)
)</f>
        <v>2</v>
      </c>
      <c r="AG8" s="61" cm="1">
        <f t="array" aca="1" ref="AG8" ca="1">IF(
MOD('Well calls each plate'!AG8,1)=0,
INDIRECT("'Plate map key'!"&amp;ADDRESS('Well calls each plate'!AG8+5,ROW()+1)),
AVERAGE(
INDIRECT("'Plate map key'!"&amp;ADDRESS(TRUNC('Well calls each plate'!AG8)+5,ROW()+1)),
INDIRECT("'Plate map key'!"&amp;ADDRESS(TRUNC('Well calls each plate'!AG8)+6,ROW()+1))
)
)</f>
        <v>1.5</v>
      </c>
      <c r="AH8" s="61" cm="1">
        <f t="array" aca="1" ref="AH8" ca="1">IF(
MOD('Well calls each plate'!AH8,1)=0,
INDIRECT("'Plate map key'!"&amp;ADDRESS('Well calls each plate'!AH8+5,ROW()+1)),
AVERAGE(
INDIRECT("'Plate map key'!"&amp;ADDRESS(TRUNC('Well calls each plate'!AH8)+5,ROW()+1)),
INDIRECT("'Plate map key'!"&amp;ADDRESS(TRUNC('Well calls each plate'!AH8)+6,ROW()+1))
)
)</f>
        <v>2</v>
      </c>
      <c r="AI8" s="61" cm="1">
        <f t="array" aca="1" ref="AI8" ca="1">IF(
MOD('Well calls each plate'!AI8,1)=0,
INDIRECT("'Plate map key'!"&amp;ADDRESS('Well calls each plate'!AI8+5,ROW()+1)),
AVERAGE(
INDIRECT("'Plate map key'!"&amp;ADDRESS(TRUNC('Well calls each plate'!AI8)+5,ROW()+1)),
INDIRECT("'Plate map key'!"&amp;ADDRESS(TRUNC('Well calls each plate'!AI8)+6,ROW()+1))
)
)</f>
        <v>1.5</v>
      </c>
      <c r="AJ8" s="61" cm="1">
        <f t="array" aca="1" ref="AJ8" ca="1">IF(
MOD('Well calls each plate'!AJ8,1)=0,
INDIRECT("'Plate map key'!"&amp;ADDRESS('Well calls each plate'!AJ8+5,ROW()+1)),
AVERAGE(
INDIRECT("'Plate map key'!"&amp;ADDRESS(TRUNC('Well calls each plate'!AJ8)+5,ROW()+1)),
INDIRECT("'Plate map key'!"&amp;ADDRESS(TRUNC('Well calls each plate'!AJ8)+6,ROW()+1))
)
)</f>
        <v>1.5</v>
      </c>
      <c r="AK8" s="61" cm="1">
        <f t="array" aca="1" ref="AK8" ca="1">IF(
MOD('Well calls each plate'!AK8,1)=0,
INDIRECT("'Plate map key'!"&amp;ADDRESS('Well calls each plate'!AK8+5,ROW()+1)),
AVERAGE(
INDIRECT("'Plate map key'!"&amp;ADDRESS(TRUNC('Well calls each plate'!AK8)+5,ROW()+1)),
INDIRECT("'Plate map key'!"&amp;ADDRESS(TRUNC('Well calls each plate'!AK8)+6,ROW()+1))
)
)</f>
        <v>2</v>
      </c>
      <c r="AL8" s="61" cm="1">
        <f t="array" aca="1" ref="AL8" ca="1">IF(
MOD('Well calls each plate'!AL8,1)=0,
INDIRECT("'Plate map key'!"&amp;ADDRESS('Well calls each plate'!AL8+5,ROW()+1)),
AVERAGE(
INDIRECT("'Plate map key'!"&amp;ADDRESS(TRUNC('Well calls each plate'!AL8)+5,ROW()+1)),
INDIRECT("'Plate map key'!"&amp;ADDRESS(TRUNC('Well calls each plate'!AL8)+6,ROW()+1))
)
)</f>
        <v>2</v>
      </c>
      <c r="AM8" s="61" cm="1">
        <f t="array" aca="1" ref="AM8" ca="1">IF(
MOD('Well calls each plate'!AM8,1)=0,
INDIRECT("'Plate map key'!"&amp;ADDRESS('Well calls each plate'!AM8+5,ROW()+1)),
AVERAGE(
INDIRECT("'Plate map key'!"&amp;ADDRESS(TRUNC('Well calls each plate'!AM8)+5,ROW()+1)),
INDIRECT("'Plate map key'!"&amp;ADDRESS(TRUNC('Well calls each plate'!AM8)+6,ROW()+1))
)
)</f>
        <v>1.5</v>
      </c>
      <c r="AN8" s="61" cm="1">
        <f t="array" aca="1" ref="AN8" ca="1">IF(
MOD('Well calls each plate'!AN8,1)=0,
INDIRECT("'Plate map key'!"&amp;ADDRESS('Well calls each plate'!AN8+5,ROW()+1)),
AVERAGE(
INDIRECT("'Plate map key'!"&amp;ADDRESS(TRUNC('Well calls each plate'!AN8)+5,ROW()+1)),
INDIRECT("'Plate map key'!"&amp;ADDRESS(TRUNC('Well calls each plate'!AN8)+6,ROW()+1))
)
)</f>
        <v>1.5</v>
      </c>
      <c r="AO8" s="61" cm="1">
        <f t="array" aca="1" ref="AO8" ca="1">IF(
MOD('Well calls each plate'!AO8,1)=0,
INDIRECT("'Plate map key'!"&amp;ADDRESS('Well calls each plate'!AO8+5,ROW()+1)),
AVERAGE(
INDIRECT("'Plate map key'!"&amp;ADDRESS(TRUNC('Well calls each plate'!AO8)+5,ROW()+1)),
INDIRECT("'Plate map key'!"&amp;ADDRESS(TRUNC('Well calls each plate'!AO8)+6,ROW()+1))
)
)</f>
        <v>1.5</v>
      </c>
      <c r="AP8" s="61" cm="1">
        <f t="array" aca="1" ref="AP8" ca="1">IF(
MOD('Well calls each plate'!AP8,1)=0,
INDIRECT("'Plate map key'!"&amp;ADDRESS('Well calls each plate'!AP8+5,ROW()+1)),
AVERAGE(
INDIRECT("'Plate map key'!"&amp;ADDRESS(TRUNC('Well calls each plate'!AP8)+5,ROW()+1)),
INDIRECT("'Plate map key'!"&amp;ADDRESS(TRUNC('Well calls each plate'!AP8)+6,ROW()+1))
)
)</f>
        <v>0.5</v>
      </c>
      <c r="AQ8" s="61" cm="1">
        <f t="array" aca="1" ref="AQ8" ca="1">IF(
MOD('Well calls each plate'!AQ8,1)=0,
INDIRECT("'Plate map key'!"&amp;ADDRESS('Well calls each plate'!AQ8+5,ROW()+1)),
AVERAGE(
INDIRECT("'Plate map key'!"&amp;ADDRESS(TRUNC('Well calls each plate'!AQ8)+5,ROW()+1)),
INDIRECT("'Plate map key'!"&amp;ADDRESS(TRUNC('Well calls each plate'!AQ8)+6,ROW()+1))
)
)</f>
        <v>0.5</v>
      </c>
      <c r="AR8" s="61" cm="1">
        <f t="array" aca="1" ref="AR8" ca="1">IF(
MOD('Well calls each plate'!AR8,1)=0,
INDIRECT("'Plate map key'!"&amp;ADDRESS('Well calls each plate'!AR8+5,ROW()+1)),
AVERAGE(
INDIRECT("'Plate map key'!"&amp;ADDRESS(TRUNC('Well calls each plate'!AR8)+5,ROW()+1)),
INDIRECT("'Plate map key'!"&amp;ADDRESS(TRUNC('Well calls each plate'!AR8)+6,ROW()+1))
)
)</f>
        <v>0.375</v>
      </c>
      <c r="AS8" s="61" cm="1">
        <f t="array" aca="1" ref="AS8" ca="1">IF(
MOD('Well calls each plate'!AS8,1)=0,
INDIRECT("'Plate map key'!"&amp;ADDRESS('Well calls each plate'!AS8+5,ROW()+1)),
AVERAGE(
INDIRECT("'Plate map key'!"&amp;ADDRESS(TRUNC('Well calls each plate'!AS8)+5,ROW()+1)),
INDIRECT("'Plate map key'!"&amp;ADDRESS(TRUNC('Well calls each plate'!AS8)+6,ROW()+1))
)
)</f>
        <v>1.5</v>
      </c>
      <c r="AT8" s="61" cm="1">
        <f t="array" aca="1" ref="AT8" ca="1">IF(
MOD('Well calls each plate'!AT8,1)=0,
INDIRECT("'Plate map key'!"&amp;ADDRESS('Well calls each plate'!AT8+5,ROW()+1)),
AVERAGE(
INDIRECT("'Plate map key'!"&amp;ADDRESS(TRUNC('Well calls each plate'!AT8)+5,ROW()+1)),
INDIRECT("'Plate map key'!"&amp;ADDRESS(TRUNC('Well calls each plate'!AT8)+6,ROW()+1))
)
)</f>
        <v>1</v>
      </c>
      <c r="AU8" s="61" cm="1">
        <f t="array" aca="1" ref="AU8" ca="1">IF(
MOD('Well calls each plate'!AU8,1)=0,
INDIRECT("'Plate map key'!"&amp;ADDRESS('Well calls each plate'!AU8+5,ROW()+1)),
AVERAGE(
INDIRECT("'Plate map key'!"&amp;ADDRESS(TRUNC('Well calls each plate'!AU8)+5,ROW()+1)),
INDIRECT("'Plate map key'!"&amp;ADDRESS(TRUNC('Well calls each plate'!AU8)+6,ROW()+1))
)
)</f>
        <v>1</v>
      </c>
      <c r="AV8" s="61" cm="1">
        <f t="array" aca="1" ref="AV8" ca="1">IF(
MOD('Well calls each plate'!AV8,1)=0,
INDIRECT("'Plate map key'!"&amp;ADDRESS('Well calls each plate'!AV8+5,ROW()+1)),
AVERAGE(
INDIRECT("'Plate map key'!"&amp;ADDRESS(TRUNC('Well calls each plate'!AV8)+5,ROW()+1)),
INDIRECT("'Plate map key'!"&amp;ADDRESS(TRUNC('Well calls each plate'!AV8)+6,ROW()+1))
)
)</f>
        <v>2</v>
      </c>
      <c r="AW8" s="61" cm="1">
        <f t="array" aca="1" ref="AW8" ca="1">IF(
MOD('Well calls each plate'!AW8,1)=0,
INDIRECT("'Plate map key'!"&amp;ADDRESS('Well calls each plate'!AW8+5,ROW()+1)),
AVERAGE(
INDIRECT("'Plate map key'!"&amp;ADDRESS(TRUNC('Well calls each plate'!AW8)+5,ROW()+1)),
INDIRECT("'Plate map key'!"&amp;ADDRESS(TRUNC('Well calls each plate'!AW8)+6,ROW()+1))
)
)</f>
        <v>2</v>
      </c>
      <c r="AX8" s="61" cm="1">
        <f t="array" aca="1" ref="AX8" ca="1">IF(
MOD('Well calls each plate'!AX8,1)=0,
INDIRECT("'Plate map key'!"&amp;ADDRESS('Well calls each plate'!AX8+5,ROW()+1)),
AVERAGE(
INDIRECT("'Plate map key'!"&amp;ADDRESS(TRUNC('Well calls each plate'!AX8)+5,ROW()+1)),
INDIRECT("'Plate map key'!"&amp;ADDRESS(TRUNC('Well calls each plate'!AX8)+6,ROW()+1))
)
)</f>
        <v>2</v>
      </c>
      <c r="AY8" s="61" cm="1">
        <f t="array" aca="1" ref="AY8" ca="1">IF(
MOD('Well calls each plate'!AY8,1)=0,
INDIRECT("'Plate map key'!"&amp;ADDRESS('Well calls each plate'!AY8+5,ROW()+1)),
AVERAGE(
INDIRECT("'Plate map key'!"&amp;ADDRESS(TRUNC('Well calls each plate'!AY8)+5,ROW()+1)),
INDIRECT("'Plate map key'!"&amp;ADDRESS(TRUNC('Well calls each plate'!AY8)+6,ROW()+1))
)
)</f>
        <v>2</v>
      </c>
      <c r="AZ8" s="61" cm="1">
        <f t="array" aca="1" ref="AZ8" ca="1">IF(
MOD('Well calls each plate'!AZ8,1)=0,
INDIRECT("'Plate map key'!"&amp;ADDRESS('Well calls each plate'!AZ8+5,ROW()+1)),
AVERAGE(
INDIRECT("'Plate map key'!"&amp;ADDRESS(TRUNC('Well calls each plate'!AZ8)+5,ROW()+1)),
INDIRECT("'Plate map key'!"&amp;ADDRESS(TRUNC('Well calls each plate'!AZ8)+6,ROW()+1))
)
)</f>
        <v>2</v>
      </c>
      <c r="BA8" s="61" cm="1">
        <f t="array" aca="1" ref="BA8" ca="1">IF(
MOD('Well calls each plate'!BA8,1)=0,
INDIRECT("'Plate map key'!"&amp;ADDRESS('Well calls each plate'!BA8+5,ROW()+1)),
AVERAGE(
INDIRECT("'Plate map key'!"&amp;ADDRESS(TRUNC('Well calls each plate'!BA8)+5,ROW()+1)),
INDIRECT("'Plate map key'!"&amp;ADDRESS(TRUNC('Well calls each plate'!BA8)+6,ROW()+1))
)
)</f>
        <v>2</v>
      </c>
      <c r="BB8" s="61" cm="1">
        <f t="array" aca="1" ref="BB8" ca="1">IF(
MOD('Well calls each plate'!BB8,1)=0,
INDIRECT("'Plate map key'!"&amp;ADDRESS('Well calls each plate'!BB8+5,ROW()+1)),
AVERAGE(
INDIRECT("'Plate map key'!"&amp;ADDRESS(TRUNC('Well calls each plate'!BB8)+5,ROW()+1)),
INDIRECT("'Plate map key'!"&amp;ADDRESS(TRUNC('Well calls each plate'!BB8)+6,ROW()+1))
)
)</f>
        <v>1</v>
      </c>
      <c r="BC8" s="61" cm="1">
        <f t="array" aca="1" ref="BC8" ca="1">IF(
MOD('Well calls each plate'!BC8,1)=0,
INDIRECT("'Plate map key'!"&amp;ADDRESS('Well calls each plate'!BC8+5,ROW()+1)),
AVERAGE(
INDIRECT("'Plate map key'!"&amp;ADDRESS(TRUNC('Well calls each plate'!BC8)+5,ROW()+1)),
INDIRECT("'Plate map key'!"&amp;ADDRESS(TRUNC('Well calls each plate'!BC8)+6,ROW()+1))
)
)</f>
        <v>1</v>
      </c>
      <c r="BD8" s="61" cm="1">
        <f t="array" aca="1" ref="BD8" ca="1">IF(
MOD('Well calls each plate'!BD8,1)=0,
INDIRECT("'Plate map key'!"&amp;ADDRESS('Well calls each plate'!BD8+5,ROW()+1)),
AVERAGE(
INDIRECT("'Plate map key'!"&amp;ADDRESS(TRUNC('Well calls each plate'!BD8)+5,ROW()+1)),
INDIRECT("'Plate map key'!"&amp;ADDRESS(TRUNC('Well calls each plate'!BD8)+6,ROW()+1))
)
)</f>
        <v>1</v>
      </c>
      <c r="BE8" s="61" cm="1">
        <f t="array" aca="1" ref="BE8" ca="1">IF(
MOD('Well calls each plate'!BE8,1)=0,
INDIRECT("'Plate map key'!"&amp;ADDRESS('Well calls each plate'!BE8+5,ROW()+1)),
AVERAGE(
INDIRECT("'Plate map key'!"&amp;ADDRESS(TRUNC('Well calls each plate'!BE8)+5,ROW()+1)),
INDIRECT("'Plate map key'!"&amp;ADDRESS(TRUNC('Well calls each plate'!BE8)+6,ROW()+1))
)
)</f>
        <v>0.375</v>
      </c>
      <c r="BF8" s="61" cm="1">
        <f t="array" aca="1" ref="BF8" ca="1">IF(
MOD('Well calls each plate'!BF8,1)=0,
INDIRECT("'Plate map key'!"&amp;ADDRESS('Well calls each plate'!BF8+5,ROW()+1)),
AVERAGE(
INDIRECT("'Plate map key'!"&amp;ADDRESS(TRUNC('Well calls each plate'!BF8)+5,ROW()+1)),
INDIRECT("'Plate map key'!"&amp;ADDRESS(TRUNC('Well calls each plate'!BF8)+6,ROW()+1))
)
)</f>
        <v>0.375</v>
      </c>
      <c r="BG8" s="61" cm="1">
        <f t="array" aca="1" ref="BG8" ca="1">IF(
MOD('Well calls each plate'!BG8,1)=0,
INDIRECT("'Plate map key'!"&amp;ADDRESS('Well calls each plate'!BG8+5,ROW()+1)),
AVERAGE(
INDIRECT("'Plate map key'!"&amp;ADDRESS(TRUNC('Well calls each plate'!BG8)+5,ROW()+1)),
INDIRECT("'Plate map key'!"&amp;ADDRESS(TRUNC('Well calls each plate'!BG8)+6,ROW()+1))
)
)</f>
        <v>0.375</v>
      </c>
      <c r="BH8" s="61" cm="1">
        <f t="array" aca="1" ref="BH8" ca="1">IF(
MOD('Well calls each plate'!BH8,1)=0,
INDIRECT("'Plate map key'!"&amp;ADDRESS('Well calls each plate'!BH8+5,ROW()+1)),
AVERAGE(
INDIRECT("'Plate map key'!"&amp;ADDRESS(TRUNC('Well calls each plate'!BH8)+5,ROW()+1)),
INDIRECT("'Plate map key'!"&amp;ADDRESS(TRUNC('Well calls each plate'!BH8)+6,ROW()+1))
)
)</f>
        <v>1</v>
      </c>
      <c r="BI8" s="61" cm="1">
        <f t="array" aca="1" ref="BI8" ca="1">IF(
MOD('Well calls each plate'!BI8,1)=0,
INDIRECT("'Plate map key'!"&amp;ADDRESS('Well calls each plate'!BI8+5,ROW()+1)),
AVERAGE(
INDIRECT("'Plate map key'!"&amp;ADDRESS(TRUNC('Well calls each plate'!BI8)+5,ROW()+1)),
INDIRECT("'Plate map key'!"&amp;ADDRESS(TRUNC('Well calls each plate'!BI8)+6,ROW()+1))
)
)</f>
        <v>1</v>
      </c>
      <c r="BJ8" s="61" cm="1">
        <f t="array" aca="1" ref="BJ8" ca="1">IF(
MOD('Well calls each plate'!BJ8,1)=0,
INDIRECT("'Plate map key'!"&amp;ADDRESS('Well calls each plate'!BJ8+5,ROW()+1)),
AVERAGE(
INDIRECT("'Plate map key'!"&amp;ADDRESS(TRUNC('Well calls each plate'!BJ8)+5,ROW()+1)),
INDIRECT("'Plate map key'!"&amp;ADDRESS(TRUNC('Well calls each plate'!BJ8)+6,ROW()+1))
)
)</f>
        <v>1</v>
      </c>
      <c r="BK8" s="61" cm="1">
        <f t="array" aca="1" ref="BK8" ca="1">IF(
MOD('Well calls each plate'!BK8,1)=0,
INDIRECT("'Plate map key'!"&amp;ADDRESS('Well calls each plate'!BK8+5,ROW()+1)),
AVERAGE(
INDIRECT("'Plate map key'!"&amp;ADDRESS(TRUNC('Well calls each plate'!BK8)+5,ROW()+1)),
INDIRECT("'Plate map key'!"&amp;ADDRESS(TRUNC('Well calls each plate'!BK8)+6,ROW()+1))
)
)</f>
        <v>1.5</v>
      </c>
      <c r="BL8" s="61" cm="1">
        <f t="array" aca="1" ref="BL8" ca="1">IF(
MOD('Well calls each plate'!BL8,1)=0,
INDIRECT("'Plate map key'!"&amp;ADDRESS('Well calls each plate'!BL8+5,ROW()+1)),
AVERAGE(
INDIRECT("'Plate map key'!"&amp;ADDRESS(TRUNC('Well calls each plate'!BL8)+5,ROW()+1)),
INDIRECT("'Plate map key'!"&amp;ADDRESS(TRUNC('Well calls each plate'!BL8)+6,ROW()+1))
)
)</f>
        <v>1</v>
      </c>
      <c r="BM8" s="61" cm="1">
        <f t="array" aca="1" ref="BM8" ca="1">IF(
MOD('Well calls each plate'!BM8,1)=0,
INDIRECT("'Plate map key'!"&amp;ADDRESS('Well calls each plate'!BM8+5,ROW()+1)),
AVERAGE(
INDIRECT("'Plate map key'!"&amp;ADDRESS(TRUNC('Well calls each plate'!BM8)+5,ROW()+1)),
INDIRECT("'Plate map key'!"&amp;ADDRESS(TRUNC('Well calls each plate'!BM8)+6,ROW()+1))
)
)</f>
        <v>1</v>
      </c>
    </row>
    <row r="9" spans="2:65" x14ac:dyDescent="0.2">
      <c r="B9" s="57" t="s">
        <v>6</v>
      </c>
      <c r="C9" s="61" cm="1">
        <f t="array" aca="1" ref="C9" ca="1">IF(
MOD('Well calls each plate'!C9,1)=0,
INDIRECT("'Plate map key'!"&amp;ADDRESS('Well calls each plate'!C9+5,ROW()+1)),
AVERAGE(
INDIRECT("'Plate map key'!"&amp;ADDRESS(TRUNC('Well calls each plate'!C9)+5,ROW()+1)),
INDIRECT("'Plate map key'!"&amp;ADDRESS(TRUNC('Well calls each plate'!C9)+6,ROW()+1))
)
)</f>
        <v>7.8125</v>
      </c>
      <c r="D9" s="61" cm="1">
        <f t="array" aca="1" ref="D9" ca="1">IF(
MOD('Well calls each plate'!D9,1)=0,
INDIRECT("'Plate map key'!"&amp;ADDRESS('Well calls each plate'!D9+5,ROW()+1)),
AVERAGE(
INDIRECT("'Plate map key'!"&amp;ADDRESS(TRUNC('Well calls each plate'!D9)+5,ROW()+1)),
INDIRECT("'Plate map key'!"&amp;ADDRESS(TRUNC('Well calls each plate'!D9)+6,ROW()+1))
)
)</f>
        <v>5.859375</v>
      </c>
      <c r="E9" s="61" cm="1">
        <f t="array" aca="1" ref="E9" ca="1">IF(
MOD('Well calls each plate'!E9,1)=0,
INDIRECT("'Plate map key'!"&amp;ADDRESS('Well calls each plate'!E9+5,ROW()+1)),
AVERAGE(
INDIRECT("'Plate map key'!"&amp;ADDRESS(TRUNC('Well calls each plate'!E9)+5,ROW()+1)),
INDIRECT("'Plate map key'!"&amp;ADDRESS(TRUNC('Well calls each plate'!E9)+6,ROW()+1))
)
)</f>
        <v>5.859375</v>
      </c>
      <c r="F9" s="61" cm="1">
        <f t="array" aca="1" ref="F9" ca="1">IF(
MOD('Well calls each plate'!F9,1)=0,
INDIRECT("'Plate map key'!"&amp;ADDRESS('Well calls each plate'!F9+5,ROW()+1)),
AVERAGE(
INDIRECT("'Plate map key'!"&amp;ADDRESS(TRUNC('Well calls each plate'!F9)+5,ROW()+1)),
INDIRECT("'Plate map key'!"&amp;ADDRESS(TRUNC('Well calls each plate'!F9)+6,ROW()+1))
)
)</f>
        <v>7.8125</v>
      </c>
      <c r="G9" s="61" cm="1">
        <f t="array" aca="1" ref="G9" ca="1">IF(
MOD('Well calls each plate'!G9,1)=0,
INDIRECT("'Plate map key'!"&amp;ADDRESS('Well calls each plate'!G9+5,ROW()+1)),
AVERAGE(
INDIRECT("'Plate map key'!"&amp;ADDRESS(TRUNC('Well calls each plate'!G9)+5,ROW()+1)),
INDIRECT("'Plate map key'!"&amp;ADDRESS(TRUNC('Well calls each plate'!G9)+6,ROW()+1))
)
)</f>
        <v>15.625</v>
      </c>
      <c r="H9" s="61" cm="1">
        <f t="array" aca="1" ref="H9" ca="1">IF(
MOD('Well calls each plate'!H9,1)=0,
INDIRECT("'Plate map key'!"&amp;ADDRESS('Well calls each plate'!H9+5,ROW()+1)),
AVERAGE(
INDIRECT("'Plate map key'!"&amp;ADDRESS(TRUNC('Well calls each plate'!H9)+5,ROW()+1)),
INDIRECT("'Plate map key'!"&amp;ADDRESS(TRUNC('Well calls each plate'!H9)+6,ROW()+1))
)
)</f>
        <v>15.625</v>
      </c>
      <c r="I9" s="61" cm="1">
        <f t="array" aca="1" ref="I9" ca="1">IF(
MOD('Well calls each plate'!I9,1)=0,
INDIRECT("'Plate map key'!"&amp;ADDRESS('Well calls each plate'!I9+5,ROW()+1)),
AVERAGE(
INDIRECT("'Plate map key'!"&amp;ADDRESS(TRUNC('Well calls each plate'!I9)+5,ROW()+1)),
INDIRECT("'Plate map key'!"&amp;ADDRESS(TRUNC('Well calls each plate'!I9)+6,ROW()+1))
)
)</f>
        <v>0.244140625</v>
      </c>
      <c r="J9" s="61" cm="1">
        <f t="array" aca="1" ref="J9" ca="1">IF(
MOD('Well calls each plate'!J9,1)=0,
INDIRECT("'Plate map key'!"&amp;ADDRESS('Well calls each plate'!J9+5,ROW()+1)),
AVERAGE(
INDIRECT("'Plate map key'!"&amp;ADDRESS(TRUNC('Well calls each plate'!J9)+5,ROW()+1)),
INDIRECT("'Plate map key'!"&amp;ADDRESS(TRUNC('Well calls each plate'!J9)+6,ROW()+1))
)
)</f>
        <v>7</v>
      </c>
      <c r="K9" s="61" cm="1">
        <f t="array" aca="1" ref="K9" ca="1">IF(
MOD('Well calls each plate'!K9,1)=0,
INDIRECT("'Plate map key'!"&amp;ADDRESS('Well calls each plate'!K9+5,ROW()+1)),
AVERAGE(
INDIRECT("'Plate map key'!"&amp;ADDRESS(TRUNC('Well calls each plate'!K9)+5,ROW()+1)),
INDIRECT("'Plate map key'!"&amp;ADDRESS(TRUNC('Well calls each plate'!K9)+6,ROW()+1))
)
)</f>
        <v>0.244140625</v>
      </c>
      <c r="L9" s="61" cm="1">
        <f t="array" aca="1" ref="L9" ca="1">IF(
MOD('Well calls each plate'!L9,1)=0,
INDIRECT("'Plate map key'!"&amp;ADDRESS('Well calls each plate'!L9+5,ROW()+1)),
AVERAGE(
INDIRECT("'Plate map key'!"&amp;ADDRESS(TRUNC('Well calls each plate'!L9)+5,ROW()+1)),
INDIRECT("'Plate map key'!"&amp;ADDRESS(TRUNC('Well calls each plate'!L9)+6,ROW()+1))
)
)</f>
        <v>11.71875</v>
      </c>
      <c r="M9" s="61" cm="1">
        <f t="array" aca="1" ref="M9" ca="1">IF(
MOD('Well calls each plate'!M9,1)=0,
INDIRECT("'Plate map key'!"&amp;ADDRESS('Well calls each plate'!M9+5,ROW()+1)),
AVERAGE(
INDIRECT("'Plate map key'!"&amp;ADDRESS(TRUNC('Well calls each plate'!M9)+5,ROW()+1)),
INDIRECT("'Plate map key'!"&amp;ADDRESS(TRUNC('Well calls each plate'!M9)+6,ROW()+1))
)
)</f>
        <v>7.8125</v>
      </c>
      <c r="N9" s="61" cm="1">
        <f t="array" aca="1" ref="N9" ca="1">IF(
MOD('Well calls each plate'!N9,1)=0,
INDIRECT("'Plate map key'!"&amp;ADDRESS('Well calls each plate'!N9+5,ROW()+1)),
AVERAGE(
INDIRECT("'Plate map key'!"&amp;ADDRESS(TRUNC('Well calls each plate'!N9)+5,ROW()+1)),
INDIRECT("'Plate map key'!"&amp;ADDRESS(TRUNC('Well calls each plate'!N9)+6,ROW()+1))
)
)</f>
        <v>5.859375</v>
      </c>
      <c r="O9" s="61" cm="1">
        <f t="array" aca="1" ref="O9" ca="1">IF(
MOD('Well calls each plate'!O9,1)=0,
INDIRECT("'Plate map key'!"&amp;ADDRESS('Well calls each plate'!O9+5,ROW()+1)),
AVERAGE(
INDIRECT("'Plate map key'!"&amp;ADDRESS(TRUNC('Well calls each plate'!O9)+5,ROW()+1)),
INDIRECT("'Plate map key'!"&amp;ADDRESS(TRUNC('Well calls each plate'!O9)+6,ROW()+1))
)
)</f>
        <v>1.953125</v>
      </c>
      <c r="P9" s="61" cm="1">
        <f t="array" aca="1" ref="P9" ca="1">IF(
MOD('Well calls each plate'!P9,1)=0,
INDIRECT("'Plate map key'!"&amp;ADDRESS('Well calls each plate'!P9+5,ROW()+1)),
AVERAGE(
INDIRECT("'Plate map key'!"&amp;ADDRESS(TRUNC('Well calls each plate'!P9)+5,ROW()+1)),
INDIRECT("'Plate map key'!"&amp;ADDRESS(TRUNC('Well calls each plate'!P9)+6,ROW()+1))
)
)</f>
        <v>1.953125</v>
      </c>
      <c r="Q9" s="61" cm="1">
        <f t="array" aca="1" ref="Q9" ca="1">IF(
MOD('Well calls each plate'!Q9,1)=0,
INDIRECT("'Plate map key'!"&amp;ADDRESS('Well calls each plate'!Q9+5,ROW()+1)),
AVERAGE(
INDIRECT("'Plate map key'!"&amp;ADDRESS(TRUNC('Well calls each plate'!Q9)+5,ROW()+1)),
INDIRECT("'Plate map key'!"&amp;ADDRESS(TRUNC('Well calls each plate'!Q9)+6,ROW()+1))
)
)</f>
        <v>1.953125</v>
      </c>
      <c r="R9" s="61" cm="1">
        <f t="array" aca="1" ref="R9" ca="1">IF(
MOD('Well calls each plate'!R9,1)=0,
INDIRECT("'Plate map key'!"&amp;ADDRESS('Well calls each plate'!R9+5,ROW()+1)),
AVERAGE(
INDIRECT("'Plate map key'!"&amp;ADDRESS(TRUNC('Well calls each plate'!R9)+5,ROW()+1)),
INDIRECT("'Plate map key'!"&amp;ADDRESS(TRUNC('Well calls each plate'!R9)+6,ROW()+1))
)
)</f>
        <v>11.71875</v>
      </c>
      <c r="S9" s="61" cm="1">
        <f t="array" aca="1" ref="S9" ca="1">IF(
MOD('Well calls each plate'!S9,1)=0,
INDIRECT("'Plate map key'!"&amp;ADDRESS('Well calls each plate'!S9+5,ROW()+1)),
AVERAGE(
INDIRECT("'Plate map key'!"&amp;ADDRESS(TRUNC('Well calls each plate'!S9)+5,ROW()+1)),
INDIRECT("'Plate map key'!"&amp;ADDRESS(TRUNC('Well calls each plate'!S9)+6,ROW()+1))
)
)</f>
        <v>15.625</v>
      </c>
      <c r="T9" s="61" cm="1">
        <f t="array" aca="1" ref="T9" ca="1">IF(
MOD('Well calls each plate'!T9,1)=0,
INDIRECT("'Plate map key'!"&amp;ADDRESS('Well calls each plate'!T9+5,ROW()+1)),
AVERAGE(
INDIRECT("'Plate map key'!"&amp;ADDRESS(TRUNC('Well calls each plate'!T9)+5,ROW()+1)),
INDIRECT("'Plate map key'!"&amp;ADDRESS(TRUNC('Well calls each plate'!T9)+6,ROW()+1))
)
)</f>
        <v>15.625</v>
      </c>
      <c r="U9" s="61" cm="1">
        <f t="array" aca="1" ref="U9" ca="1">IF(
MOD('Well calls each plate'!U9,1)=0,
INDIRECT("'Plate map key'!"&amp;ADDRESS('Well calls each plate'!U9+5,ROW()+1)),
AVERAGE(
INDIRECT("'Plate map key'!"&amp;ADDRESS(TRUNC('Well calls each plate'!U9)+5,ROW()+1)),
INDIRECT("'Plate map key'!"&amp;ADDRESS(TRUNC('Well calls each plate'!U9)+6,ROW()+1))
)
)</f>
        <v>7.8125</v>
      </c>
      <c r="V9" s="61" cm="1">
        <f t="array" aca="1" ref="V9" ca="1">IF(
MOD('Well calls each plate'!V9,1)=0,
INDIRECT("'Plate map key'!"&amp;ADDRESS('Well calls each plate'!V9+5,ROW()+1)),
AVERAGE(
INDIRECT("'Plate map key'!"&amp;ADDRESS(TRUNC('Well calls each plate'!V9)+5,ROW()+1)),
INDIRECT("'Plate map key'!"&amp;ADDRESS(TRUNC('Well calls each plate'!V9)+6,ROW()+1))
)
)</f>
        <v>7.8125</v>
      </c>
      <c r="W9" s="61" cm="1">
        <f t="array" aca="1" ref="W9" ca="1">IF(
MOD('Well calls each plate'!W9,1)=0,
INDIRECT("'Plate map key'!"&amp;ADDRESS('Well calls each plate'!W9+5,ROW()+1)),
AVERAGE(
INDIRECT("'Plate map key'!"&amp;ADDRESS(TRUNC('Well calls each plate'!W9)+5,ROW()+1)),
INDIRECT("'Plate map key'!"&amp;ADDRESS(TRUNC('Well calls each plate'!W9)+6,ROW()+1))
)
)</f>
        <v>7.8125</v>
      </c>
      <c r="X9" s="61" cm="1">
        <f t="array" aca="1" ref="X9" ca="1">IF(
MOD('Well calls each plate'!X9,1)=0,
INDIRECT("'Plate map key'!"&amp;ADDRESS('Well calls each plate'!X9+5,ROW()+1)),
AVERAGE(
INDIRECT("'Plate map key'!"&amp;ADDRESS(TRUNC('Well calls each plate'!X9)+5,ROW()+1)),
INDIRECT("'Plate map key'!"&amp;ADDRESS(TRUNC('Well calls each plate'!X9)+6,ROW()+1))
)
)</f>
        <v>0.9765625</v>
      </c>
      <c r="Y9" s="61" cm="1">
        <f t="array" aca="1" ref="Y9" ca="1">IF(
MOD('Well calls each plate'!Y9,1)=0,
INDIRECT("'Plate map key'!"&amp;ADDRESS('Well calls each plate'!Y9+5,ROW()+1)),
AVERAGE(
INDIRECT("'Plate map key'!"&amp;ADDRESS(TRUNC('Well calls each plate'!Y9)+5,ROW()+1)),
INDIRECT("'Plate map key'!"&amp;ADDRESS(TRUNC('Well calls each plate'!Y9)+6,ROW()+1))
)
)</f>
        <v>0.9765625</v>
      </c>
      <c r="Z9" s="61" cm="1">
        <f t="array" aca="1" ref="Z9" ca="1">IF(
MOD('Well calls each plate'!Z9,1)=0,
INDIRECT("'Plate map key'!"&amp;ADDRESS('Well calls each plate'!Z9+5,ROW()+1)),
AVERAGE(
INDIRECT("'Plate map key'!"&amp;ADDRESS(TRUNC('Well calls each plate'!Z9)+5,ROW()+1)),
INDIRECT("'Plate map key'!"&amp;ADDRESS(TRUNC('Well calls each plate'!Z9)+6,ROW()+1))
)
)</f>
        <v>0.9765625</v>
      </c>
      <c r="AA9" s="61" cm="1">
        <f t="array" aca="1" ref="AA9" ca="1">IF(
MOD('Well calls each plate'!AA9,1)=0,
INDIRECT("'Plate map key'!"&amp;ADDRESS('Well calls each plate'!AA9+5,ROW()+1)),
AVERAGE(
INDIRECT("'Plate map key'!"&amp;ADDRESS(TRUNC('Well calls each plate'!AA9)+5,ROW()+1)),
INDIRECT("'Plate map key'!"&amp;ADDRESS(TRUNC('Well calls each plate'!AA9)+6,ROW()+1))
)
)</f>
        <v>0.9765625</v>
      </c>
      <c r="AB9" s="61" cm="1">
        <f t="array" aca="1" ref="AB9" ca="1">IF(
MOD('Well calls each plate'!AB9,1)=0,
INDIRECT("'Plate map key'!"&amp;ADDRESS('Well calls each plate'!AB9+5,ROW()+1)),
AVERAGE(
INDIRECT("'Plate map key'!"&amp;ADDRESS(TRUNC('Well calls each plate'!AB9)+5,ROW()+1)),
INDIRECT("'Plate map key'!"&amp;ADDRESS(TRUNC('Well calls each plate'!AB9)+6,ROW()+1))
)
)</f>
        <v>1.953125</v>
      </c>
      <c r="AC9" s="61" cm="1">
        <f t="array" aca="1" ref="AC9" ca="1">IF(
MOD('Well calls each plate'!AC9,1)=0,
INDIRECT("'Plate map key'!"&amp;ADDRESS('Well calls each plate'!AC9+5,ROW()+1)),
AVERAGE(
INDIRECT("'Plate map key'!"&amp;ADDRESS(TRUNC('Well calls each plate'!AC9)+5,ROW()+1)),
INDIRECT("'Plate map key'!"&amp;ADDRESS(TRUNC('Well calls each plate'!AC9)+6,ROW()+1))
)
)</f>
        <v>1.953125</v>
      </c>
      <c r="AD9" s="61" cm="1">
        <f t="array" aca="1" ref="AD9" ca="1">IF(
MOD('Well calls each plate'!AD9,1)=0,
INDIRECT("'Plate map key'!"&amp;ADDRESS('Well calls each plate'!AD9+5,ROW()+1)),
AVERAGE(
INDIRECT("'Plate map key'!"&amp;ADDRESS(TRUNC('Well calls each plate'!AD9)+5,ROW()+1)),
INDIRECT("'Plate map key'!"&amp;ADDRESS(TRUNC('Well calls each plate'!AD9)+6,ROW()+1))
)
)</f>
        <v>0.9765625</v>
      </c>
      <c r="AE9" s="61" cm="1">
        <f t="array" aca="1" ref="AE9" ca="1">IF(
MOD('Well calls each plate'!AE9,1)=0,
INDIRECT("'Plate map key'!"&amp;ADDRESS('Well calls each plate'!AE9+5,ROW()+1)),
AVERAGE(
INDIRECT("'Plate map key'!"&amp;ADDRESS(TRUNC('Well calls each plate'!AE9)+5,ROW()+1)),
INDIRECT("'Plate map key'!"&amp;ADDRESS(TRUNC('Well calls each plate'!AE9)+6,ROW()+1))
)
)</f>
        <v>0.9765625</v>
      </c>
      <c r="AF9" s="61" cm="1">
        <f t="array" aca="1" ref="AF9" ca="1">IF(
MOD('Well calls each plate'!AF9,1)=0,
INDIRECT("'Plate map key'!"&amp;ADDRESS('Well calls each plate'!AF9+5,ROW()+1)),
AVERAGE(
INDIRECT("'Plate map key'!"&amp;ADDRESS(TRUNC('Well calls each plate'!AF9)+5,ROW()+1)),
INDIRECT("'Plate map key'!"&amp;ADDRESS(TRUNC('Well calls each plate'!AF9)+6,ROW()+1))
)
)</f>
        <v>0.48828125</v>
      </c>
      <c r="AG9" s="61" cm="1">
        <f t="array" aca="1" ref="AG9" ca="1">IF(
MOD('Well calls each plate'!AG9,1)=0,
INDIRECT("'Plate map key'!"&amp;ADDRESS('Well calls each plate'!AG9+5,ROW()+1)),
AVERAGE(
INDIRECT("'Plate map key'!"&amp;ADDRESS(TRUNC('Well calls each plate'!AG9)+5,ROW()+1)),
INDIRECT("'Plate map key'!"&amp;ADDRESS(TRUNC('Well calls each plate'!AG9)+6,ROW()+1))
)
)</f>
        <v>0.9765625</v>
      </c>
      <c r="AH9" s="61" cm="1">
        <f t="array" aca="1" ref="AH9" ca="1">IF(
MOD('Well calls each plate'!AH9,1)=0,
INDIRECT("'Plate map key'!"&amp;ADDRESS('Well calls each plate'!AH9+5,ROW()+1)),
AVERAGE(
INDIRECT("'Plate map key'!"&amp;ADDRESS(TRUNC('Well calls each plate'!AH9)+5,ROW()+1)),
INDIRECT("'Plate map key'!"&amp;ADDRESS(TRUNC('Well calls each plate'!AH9)+6,ROW()+1))
)
)</f>
        <v>0.732421875</v>
      </c>
      <c r="AI9" s="61" cm="1">
        <f t="array" aca="1" ref="AI9" ca="1">IF(
MOD('Well calls each plate'!AI9,1)=0,
INDIRECT("'Plate map key'!"&amp;ADDRESS('Well calls each plate'!AI9+5,ROW()+1)),
AVERAGE(
INDIRECT("'Plate map key'!"&amp;ADDRESS(TRUNC('Well calls each plate'!AI9)+5,ROW()+1)),
INDIRECT("'Plate map key'!"&amp;ADDRESS(TRUNC('Well calls each plate'!AI9)+6,ROW()+1))
)
)</f>
        <v>0.9765625</v>
      </c>
      <c r="AJ9" s="61" cm="1">
        <f t="array" aca="1" ref="AJ9" ca="1">IF(
MOD('Well calls each plate'!AJ9,1)=0,
INDIRECT("'Plate map key'!"&amp;ADDRESS('Well calls each plate'!AJ9+5,ROW()+1)),
AVERAGE(
INDIRECT("'Plate map key'!"&amp;ADDRESS(TRUNC('Well calls each plate'!AJ9)+5,ROW()+1)),
INDIRECT("'Plate map key'!"&amp;ADDRESS(TRUNC('Well calls each plate'!AJ9)+6,ROW()+1))
)
)</f>
        <v>15.625</v>
      </c>
      <c r="AK9" s="61" cm="1">
        <f t="array" aca="1" ref="AK9" ca="1">IF(
MOD('Well calls each plate'!AK9,1)=0,
INDIRECT("'Plate map key'!"&amp;ADDRESS('Well calls each plate'!AK9+5,ROW()+1)),
AVERAGE(
INDIRECT("'Plate map key'!"&amp;ADDRESS(TRUNC('Well calls each plate'!AK9)+5,ROW()+1)),
INDIRECT("'Plate map key'!"&amp;ADDRESS(TRUNC('Well calls each plate'!AK9)+6,ROW()+1))
)
)</f>
        <v>7.8125</v>
      </c>
      <c r="AL9" s="61" cm="1">
        <f t="array" aca="1" ref="AL9" ca="1">IF(
MOD('Well calls each plate'!AL9,1)=0,
INDIRECT("'Plate map key'!"&amp;ADDRESS('Well calls each plate'!AL9+5,ROW()+1)),
AVERAGE(
INDIRECT("'Plate map key'!"&amp;ADDRESS(TRUNC('Well calls each plate'!AL9)+5,ROW()+1)),
INDIRECT("'Plate map key'!"&amp;ADDRESS(TRUNC('Well calls each plate'!AL9)+6,ROW()+1))
)
)</f>
        <v>7.8125</v>
      </c>
      <c r="AM9" s="61" cm="1">
        <f t="array" aca="1" ref="AM9" ca="1">IF(
MOD('Well calls each plate'!AM9,1)=0,
INDIRECT("'Plate map key'!"&amp;ADDRESS('Well calls each plate'!AM9+5,ROW()+1)),
AVERAGE(
INDIRECT("'Plate map key'!"&amp;ADDRESS(TRUNC('Well calls each plate'!AM9)+5,ROW()+1)),
INDIRECT("'Plate map key'!"&amp;ADDRESS(TRUNC('Well calls each plate'!AM9)+6,ROW()+1))
)
)</f>
        <v>5.859375</v>
      </c>
      <c r="AN9" s="61" cm="1">
        <f t="array" aca="1" ref="AN9" ca="1">IF(
MOD('Well calls each plate'!AN9,1)=0,
INDIRECT("'Plate map key'!"&amp;ADDRESS('Well calls each plate'!AN9+5,ROW()+1)),
AVERAGE(
INDIRECT("'Plate map key'!"&amp;ADDRESS(TRUNC('Well calls each plate'!AN9)+5,ROW()+1)),
INDIRECT("'Plate map key'!"&amp;ADDRESS(TRUNC('Well calls each plate'!AN9)+6,ROW()+1))
)
)</f>
        <v>7.8125</v>
      </c>
      <c r="AO9" s="61" cm="1">
        <f t="array" aca="1" ref="AO9" ca="1">IF(
MOD('Well calls each plate'!AO9,1)=0,
INDIRECT("'Plate map key'!"&amp;ADDRESS('Well calls each plate'!AO9+5,ROW()+1)),
AVERAGE(
INDIRECT("'Plate map key'!"&amp;ADDRESS(TRUNC('Well calls each plate'!AO9)+5,ROW()+1)),
INDIRECT("'Plate map key'!"&amp;ADDRESS(TRUNC('Well calls each plate'!AO9)+6,ROW()+1))
)
)</f>
        <v>5.859375</v>
      </c>
      <c r="AP9" s="61" cm="1">
        <f t="array" aca="1" ref="AP9" ca="1">IF(
MOD('Well calls each plate'!AP9,1)=0,
INDIRECT("'Plate map key'!"&amp;ADDRESS('Well calls each plate'!AP9+5,ROW()+1)),
AVERAGE(
INDIRECT("'Plate map key'!"&amp;ADDRESS(TRUNC('Well calls each plate'!AP9)+5,ROW()+1)),
INDIRECT("'Plate map key'!"&amp;ADDRESS(TRUNC('Well calls each plate'!AP9)+6,ROW()+1))
)
)</f>
        <v>5.859375</v>
      </c>
      <c r="AQ9" s="61" cm="1">
        <f t="array" aca="1" ref="AQ9" ca="1">IF(
MOD('Well calls each plate'!AQ9,1)=0,
INDIRECT("'Plate map key'!"&amp;ADDRESS('Well calls each plate'!AQ9+5,ROW()+1)),
AVERAGE(
INDIRECT("'Plate map key'!"&amp;ADDRESS(TRUNC('Well calls each plate'!AQ9)+5,ROW()+1)),
INDIRECT("'Plate map key'!"&amp;ADDRESS(TRUNC('Well calls each plate'!AQ9)+6,ROW()+1))
)
)</f>
        <v>11.71875</v>
      </c>
      <c r="AR9" s="61" cm="1">
        <f t="array" aca="1" ref="AR9" ca="1">IF(
MOD('Well calls each plate'!AR9,1)=0,
INDIRECT("'Plate map key'!"&amp;ADDRESS('Well calls each plate'!AR9+5,ROW()+1)),
AVERAGE(
INDIRECT("'Plate map key'!"&amp;ADDRESS(TRUNC('Well calls each plate'!AR9)+5,ROW()+1)),
INDIRECT("'Plate map key'!"&amp;ADDRESS(TRUNC('Well calls each plate'!AR9)+6,ROW()+1))
)
)</f>
        <v>7.8125</v>
      </c>
      <c r="AS9" s="61" cm="1">
        <f t="array" aca="1" ref="AS9" ca="1">IF(
MOD('Well calls each plate'!AS9,1)=0,
INDIRECT("'Plate map key'!"&amp;ADDRESS('Well calls each plate'!AS9+5,ROW()+1)),
AVERAGE(
INDIRECT("'Plate map key'!"&amp;ADDRESS(TRUNC('Well calls each plate'!AS9)+5,ROW()+1)),
INDIRECT("'Plate map key'!"&amp;ADDRESS(TRUNC('Well calls each plate'!AS9)+6,ROW()+1))
)
)</f>
        <v>5.859375</v>
      </c>
      <c r="AT9" s="61" cm="1">
        <f t="array" aca="1" ref="AT9" ca="1">IF(
MOD('Well calls each plate'!AT9,1)=0,
INDIRECT("'Plate map key'!"&amp;ADDRESS('Well calls each plate'!AT9+5,ROW()+1)),
AVERAGE(
INDIRECT("'Plate map key'!"&amp;ADDRESS(TRUNC('Well calls each plate'!AT9)+5,ROW()+1)),
INDIRECT("'Plate map key'!"&amp;ADDRESS(TRUNC('Well calls each plate'!AT9)+6,ROW()+1))
)
)</f>
        <v>7.8125</v>
      </c>
      <c r="AU9" s="61" cm="1">
        <f t="array" aca="1" ref="AU9" ca="1">IF(
MOD('Well calls each plate'!AU9,1)=0,
INDIRECT("'Plate map key'!"&amp;ADDRESS('Well calls each plate'!AU9+5,ROW()+1)),
AVERAGE(
INDIRECT("'Plate map key'!"&amp;ADDRESS(TRUNC('Well calls each plate'!AU9)+5,ROW()+1)),
INDIRECT("'Plate map key'!"&amp;ADDRESS(TRUNC('Well calls each plate'!AU9)+6,ROW()+1))
)
)</f>
        <v>5.859375</v>
      </c>
      <c r="AV9" s="61" cm="1">
        <f t="array" aca="1" ref="AV9" ca="1">IF(
MOD('Well calls each plate'!AV9,1)=0,
INDIRECT("'Plate map key'!"&amp;ADDRESS('Well calls each plate'!AV9+5,ROW()+1)),
AVERAGE(
INDIRECT("'Plate map key'!"&amp;ADDRESS(TRUNC('Well calls each plate'!AV9)+5,ROW()+1)),
INDIRECT("'Plate map key'!"&amp;ADDRESS(TRUNC('Well calls each plate'!AV9)+6,ROW()+1))
)
)</f>
        <v>1.953125</v>
      </c>
      <c r="AW9" s="61" cm="1">
        <f t="array" aca="1" ref="AW9" ca="1">IF(
MOD('Well calls each plate'!AW9,1)=0,
INDIRECT("'Plate map key'!"&amp;ADDRESS('Well calls each plate'!AW9+5,ROW()+1)),
AVERAGE(
INDIRECT("'Plate map key'!"&amp;ADDRESS(TRUNC('Well calls each plate'!AW9)+5,ROW()+1)),
INDIRECT("'Plate map key'!"&amp;ADDRESS(TRUNC('Well calls each plate'!AW9)+6,ROW()+1))
)
)</f>
        <v>1.46484375</v>
      </c>
      <c r="AX9" s="61" cm="1">
        <f t="array" aca="1" ref="AX9" ca="1">IF(
MOD('Well calls each plate'!AX9,1)=0,
INDIRECT("'Plate map key'!"&amp;ADDRESS('Well calls each plate'!AX9+5,ROW()+1)),
AVERAGE(
INDIRECT("'Plate map key'!"&amp;ADDRESS(TRUNC('Well calls each plate'!AX9)+5,ROW()+1)),
INDIRECT("'Plate map key'!"&amp;ADDRESS(TRUNC('Well calls each plate'!AX9)+6,ROW()+1))
)
)</f>
        <v>1.953125</v>
      </c>
      <c r="AY9" s="61" cm="1">
        <f t="array" aca="1" ref="AY9" ca="1">IF(
MOD('Well calls each plate'!AY9,1)=0,
INDIRECT("'Plate map key'!"&amp;ADDRESS('Well calls each plate'!AY9+5,ROW()+1)),
AVERAGE(
INDIRECT("'Plate map key'!"&amp;ADDRESS(TRUNC('Well calls each plate'!AY9)+5,ROW()+1)),
INDIRECT("'Plate map key'!"&amp;ADDRESS(TRUNC('Well calls each plate'!AY9)+6,ROW()+1))
)
)</f>
        <v>7.8125</v>
      </c>
      <c r="AZ9" s="61" cm="1">
        <f t="array" aca="1" ref="AZ9" ca="1">IF(
MOD('Well calls each plate'!AZ9,1)=0,
INDIRECT("'Plate map key'!"&amp;ADDRESS('Well calls each plate'!AZ9+5,ROW()+1)),
AVERAGE(
INDIRECT("'Plate map key'!"&amp;ADDRESS(TRUNC('Well calls each plate'!AZ9)+5,ROW()+1)),
INDIRECT("'Plate map key'!"&amp;ADDRESS(TRUNC('Well calls each plate'!AZ9)+6,ROW()+1))
)
)</f>
        <v>7.8125</v>
      </c>
      <c r="BA9" s="61" cm="1">
        <f t="array" aca="1" ref="BA9" ca="1">IF(
MOD('Well calls each plate'!BA9,1)=0,
INDIRECT("'Plate map key'!"&amp;ADDRESS('Well calls each plate'!BA9+5,ROW()+1)),
AVERAGE(
INDIRECT("'Plate map key'!"&amp;ADDRESS(TRUNC('Well calls each plate'!BA9)+5,ROW()+1)),
INDIRECT("'Plate map key'!"&amp;ADDRESS(TRUNC('Well calls each plate'!BA9)+6,ROW()+1))
)
)</f>
        <v>7.8125</v>
      </c>
      <c r="BB9" s="61" cm="1">
        <f t="array" aca="1" ref="BB9" ca="1">IF(
MOD('Well calls each plate'!BB9,1)=0,
INDIRECT("'Plate map key'!"&amp;ADDRESS('Well calls each plate'!BB9+5,ROW()+1)),
AVERAGE(
INDIRECT("'Plate map key'!"&amp;ADDRESS(TRUNC('Well calls each plate'!BB9)+5,ROW()+1)),
INDIRECT("'Plate map key'!"&amp;ADDRESS(TRUNC('Well calls each plate'!BB9)+6,ROW()+1))
)
)</f>
        <v>5.859375</v>
      </c>
      <c r="BC9" s="61" cm="1">
        <f t="array" aca="1" ref="BC9" ca="1">IF(
MOD('Well calls each plate'!BC9,1)=0,
INDIRECT("'Plate map key'!"&amp;ADDRESS('Well calls each plate'!BC9+5,ROW()+1)),
AVERAGE(
INDIRECT("'Plate map key'!"&amp;ADDRESS(TRUNC('Well calls each plate'!BC9)+5,ROW()+1)),
INDIRECT("'Plate map key'!"&amp;ADDRESS(TRUNC('Well calls each plate'!BC9)+6,ROW()+1))
)
)</f>
        <v>5.859375</v>
      </c>
      <c r="BD9" s="61" cm="1">
        <f t="array" aca="1" ref="BD9" ca="1">IF(
MOD('Well calls each plate'!BD9,1)=0,
INDIRECT("'Plate map key'!"&amp;ADDRESS('Well calls each plate'!BD9+5,ROW()+1)),
AVERAGE(
INDIRECT("'Plate map key'!"&amp;ADDRESS(TRUNC('Well calls each plate'!BD9)+5,ROW()+1)),
INDIRECT("'Plate map key'!"&amp;ADDRESS(TRUNC('Well calls each plate'!BD9)+6,ROW()+1))
)
)</f>
        <v>5.859375</v>
      </c>
      <c r="BE9" s="61" cm="1">
        <f t="array" aca="1" ref="BE9" ca="1">IF(
MOD('Well calls each plate'!BE9,1)=0,
INDIRECT("'Plate map key'!"&amp;ADDRESS('Well calls each plate'!BE9+5,ROW()+1)),
AVERAGE(
INDIRECT("'Plate map key'!"&amp;ADDRESS(TRUNC('Well calls each plate'!BE9)+5,ROW()+1)),
INDIRECT("'Plate map key'!"&amp;ADDRESS(TRUNC('Well calls each plate'!BE9)+6,ROW()+1))
)
)</f>
        <v>5.859375</v>
      </c>
      <c r="BF9" s="61" cm="1">
        <f t="array" aca="1" ref="BF9" ca="1">IF(
MOD('Well calls each plate'!BF9,1)=0,
INDIRECT("'Plate map key'!"&amp;ADDRESS('Well calls each plate'!BF9+5,ROW()+1)),
AVERAGE(
INDIRECT("'Plate map key'!"&amp;ADDRESS(TRUNC('Well calls each plate'!BF9)+5,ROW()+1)),
INDIRECT("'Plate map key'!"&amp;ADDRESS(TRUNC('Well calls each plate'!BF9)+6,ROW()+1))
)
)</f>
        <v>5.859375</v>
      </c>
      <c r="BG9" s="61" cm="1">
        <f t="array" aca="1" ref="BG9" ca="1">IF(
MOD('Well calls each plate'!BG9,1)=0,
INDIRECT("'Plate map key'!"&amp;ADDRESS('Well calls each plate'!BG9+5,ROW()+1)),
AVERAGE(
INDIRECT("'Plate map key'!"&amp;ADDRESS(TRUNC('Well calls each plate'!BG9)+5,ROW()+1)),
INDIRECT("'Plate map key'!"&amp;ADDRESS(TRUNC('Well calls each plate'!BG9)+6,ROW()+1))
)
)</f>
        <v>5.859375</v>
      </c>
      <c r="BH9" s="61" cm="1">
        <f t="array" aca="1" ref="BH9" ca="1">IF(
MOD('Well calls each plate'!BH9,1)=0,
INDIRECT("'Plate map key'!"&amp;ADDRESS('Well calls each plate'!BH9+5,ROW()+1)),
AVERAGE(
INDIRECT("'Plate map key'!"&amp;ADDRESS(TRUNC('Well calls each plate'!BH9)+5,ROW()+1)),
INDIRECT("'Plate map key'!"&amp;ADDRESS(TRUNC('Well calls each plate'!BH9)+6,ROW()+1))
)
)</f>
        <v>31.25</v>
      </c>
      <c r="BI9" s="61" cm="1">
        <f t="array" aca="1" ref="BI9" ca="1">IF(
MOD('Well calls each plate'!BI9,1)=0,
INDIRECT("'Plate map key'!"&amp;ADDRESS('Well calls each plate'!BI9+5,ROW()+1)),
AVERAGE(
INDIRECT("'Plate map key'!"&amp;ADDRESS(TRUNC('Well calls each plate'!BI9)+5,ROW()+1)),
INDIRECT("'Plate map key'!"&amp;ADDRESS(TRUNC('Well calls each plate'!BI9)+6,ROW()+1))
)
)</f>
        <v>15.625</v>
      </c>
      <c r="BJ9" s="61" cm="1">
        <f t="array" aca="1" ref="BJ9" ca="1">IF(
MOD('Well calls each plate'!BJ9,1)=0,
INDIRECT("'Plate map key'!"&amp;ADDRESS('Well calls each plate'!BJ9+5,ROW()+1)),
AVERAGE(
INDIRECT("'Plate map key'!"&amp;ADDRESS(TRUNC('Well calls each plate'!BJ9)+5,ROW()+1)),
INDIRECT("'Plate map key'!"&amp;ADDRESS(TRUNC('Well calls each plate'!BJ9)+6,ROW()+1))
)
)</f>
        <v>15.625</v>
      </c>
      <c r="BK9" s="61" cm="1">
        <f t="array" aca="1" ref="BK9" ca="1">IF(
MOD('Well calls each plate'!BK9,1)=0,
INDIRECT("'Plate map key'!"&amp;ADDRESS('Well calls each plate'!BK9+5,ROW()+1)),
AVERAGE(
INDIRECT("'Plate map key'!"&amp;ADDRESS(TRUNC('Well calls each plate'!BK9)+5,ROW()+1)),
INDIRECT("'Plate map key'!"&amp;ADDRESS(TRUNC('Well calls each plate'!BK9)+6,ROW()+1))
)
)</f>
        <v>1.953125</v>
      </c>
      <c r="BL9" s="61" cm="1">
        <f t="array" aca="1" ref="BL9" ca="1">IF(
MOD('Well calls each plate'!BL9,1)=0,
INDIRECT("'Plate map key'!"&amp;ADDRESS('Well calls each plate'!BL9+5,ROW()+1)),
AVERAGE(
INDIRECT("'Plate map key'!"&amp;ADDRESS(TRUNC('Well calls each plate'!BL9)+5,ROW()+1)),
INDIRECT("'Plate map key'!"&amp;ADDRESS(TRUNC('Well calls each plate'!BL9)+6,ROW()+1))
)
)</f>
        <v>1.953125</v>
      </c>
      <c r="BM9" s="61" cm="1">
        <f t="array" aca="1" ref="BM9" ca="1">IF(
MOD('Well calls each plate'!BM9,1)=0,
INDIRECT("'Plate map key'!"&amp;ADDRESS('Well calls each plate'!BM9+5,ROW()+1)),
AVERAGE(
INDIRECT("'Plate map key'!"&amp;ADDRESS(TRUNC('Well calls each plate'!BM9)+5,ROW()+1)),
INDIRECT("'Plate map key'!"&amp;ADDRESS(TRUNC('Well calls each plate'!BM9)+6,ROW()+1))
)
)</f>
        <v>3.90625</v>
      </c>
    </row>
    <row r="10" spans="2:65" x14ac:dyDescent="0.2">
      <c r="B10" s="49" t="s">
        <v>7</v>
      </c>
      <c r="C10" s="61" cm="1">
        <f t="array" aca="1" ref="C10" ca="1">IF(
MOD('Well calls each plate'!C10,1)=0,
INDIRECT("'Plate map key'!"&amp;ADDRESS('Well calls each plate'!C10+5,ROW()+1)),
AVERAGE(
INDIRECT("'Plate map key'!"&amp;ADDRESS(TRUNC('Well calls each plate'!C10)+5,ROW()+1)),
INDIRECT("'Plate map key'!"&amp;ADDRESS(TRUNC('Well calls each plate'!C10)+6,ROW()+1))
)
)</f>
        <v>0.732421875</v>
      </c>
      <c r="D10" s="61" cm="1">
        <f t="array" aca="1" ref="D10" ca="1">IF(
MOD('Well calls each plate'!D10,1)=0,
INDIRECT("'Plate map key'!"&amp;ADDRESS('Well calls each plate'!D10+5,ROW()+1)),
AVERAGE(
INDIRECT("'Plate map key'!"&amp;ADDRESS(TRUNC('Well calls each plate'!D10)+5,ROW()+1)),
INDIRECT("'Plate map key'!"&amp;ADDRESS(TRUNC('Well calls each plate'!D10)+6,ROW()+1))
)
)</f>
        <v>0.732421875</v>
      </c>
      <c r="E10" s="61" cm="1">
        <f t="array" aca="1" ref="E10" ca="1">IF(
MOD('Well calls each plate'!E10,1)=0,
INDIRECT("'Plate map key'!"&amp;ADDRESS('Well calls each plate'!E10+5,ROW()+1)),
AVERAGE(
INDIRECT("'Plate map key'!"&amp;ADDRESS(TRUNC('Well calls each plate'!E10)+5,ROW()+1)),
INDIRECT("'Plate map key'!"&amp;ADDRESS(TRUNC('Well calls each plate'!E10)+6,ROW()+1))
)
)</f>
        <v>0.732421875</v>
      </c>
      <c r="F10" s="61" cm="1">
        <f t="array" aca="1" ref="F10" ca="1">IF(
MOD('Well calls each plate'!F10,1)=0,
INDIRECT("'Plate map key'!"&amp;ADDRESS('Well calls each plate'!F10+5,ROW()+1)),
AVERAGE(
INDIRECT("'Plate map key'!"&amp;ADDRESS(TRUNC('Well calls each plate'!F10)+5,ROW()+1)),
INDIRECT("'Plate map key'!"&amp;ADDRESS(TRUNC('Well calls each plate'!F10)+6,ROW()+1))
)
)</f>
        <v>0.48828125</v>
      </c>
      <c r="G10" s="61" cm="1">
        <f t="array" aca="1" ref="G10" ca="1">IF(
MOD('Well calls each plate'!G10,1)=0,
INDIRECT("'Plate map key'!"&amp;ADDRESS('Well calls each plate'!G10+5,ROW()+1)),
AVERAGE(
INDIRECT("'Plate map key'!"&amp;ADDRESS(TRUNC('Well calls each plate'!G10)+5,ROW()+1)),
INDIRECT("'Plate map key'!"&amp;ADDRESS(TRUNC('Well calls each plate'!G10)+6,ROW()+1))
)
)</f>
        <v>0.732421875</v>
      </c>
      <c r="H10" s="61" cm="1">
        <f t="array" aca="1" ref="H10" ca="1">IF(
MOD('Well calls each plate'!H10,1)=0,
INDIRECT("'Plate map key'!"&amp;ADDRESS('Well calls each plate'!H10+5,ROW()+1)),
AVERAGE(
INDIRECT("'Plate map key'!"&amp;ADDRESS(TRUNC('Well calls each plate'!H10)+5,ROW()+1)),
INDIRECT("'Plate map key'!"&amp;ADDRESS(TRUNC('Well calls each plate'!H10)+6,ROW()+1))
)
)</f>
        <v>0.732421875</v>
      </c>
      <c r="I10" s="61" cm="1">
        <f t="array" aca="1" ref="I10" ca="1">IF(
MOD('Well calls each plate'!I10,1)=0,
INDIRECT("'Plate map key'!"&amp;ADDRESS('Well calls each plate'!I10+5,ROW()+1)),
AVERAGE(
INDIRECT("'Plate map key'!"&amp;ADDRESS(TRUNC('Well calls each plate'!I10)+5,ROW()+1)),
INDIRECT("'Plate map key'!"&amp;ADDRESS(TRUNC('Well calls each plate'!I10)+6,ROW()+1))
)
)</f>
        <v>0.9765625</v>
      </c>
      <c r="J10" s="61" cm="1">
        <f t="array" aca="1" ref="J10" ca="1">IF(
MOD('Well calls each plate'!J10,1)=0,
INDIRECT("'Plate map key'!"&amp;ADDRESS('Well calls each plate'!J10+5,ROW()+1)),
AVERAGE(
INDIRECT("'Plate map key'!"&amp;ADDRESS(TRUNC('Well calls each plate'!J10)+5,ROW()+1)),
INDIRECT("'Plate map key'!"&amp;ADDRESS(TRUNC('Well calls each plate'!J10)+6,ROW()+1))
)
)</f>
        <v>0.9765625</v>
      </c>
      <c r="K10" s="61" cm="1">
        <f t="array" aca="1" ref="K10" ca="1">IF(
MOD('Well calls each plate'!K10,1)=0,
INDIRECT("'Plate map key'!"&amp;ADDRESS('Well calls each plate'!K10+5,ROW()+1)),
AVERAGE(
INDIRECT("'Plate map key'!"&amp;ADDRESS(TRUNC('Well calls each plate'!K10)+5,ROW()+1)),
INDIRECT("'Plate map key'!"&amp;ADDRESS(TRUNC('Well calls each plate'!K10)+6,ROW()+1))
)
)</f>
        <v>0.9765625</v>
      </c>
      <c r="L10" s="61" cm="1">
        <f t="array" aca="1" ref="L10" ca="1">IF(
MOD('Well calls each plate'!L10,1)=0,
INDIRECT("'Plate map key'!"&amp;ADDRESS('Well calls each plate'!L10+5,ROW()+1)),
AVERAGE(
INDIRECT("'Plate map key'!"&amp;ADDRESS(TRUNC('Well calls each plate'!L10)+5,ROW()+1)),
INDIRECT("'Plate map key'!"&amp;ADDRESS(TRUNC('Well calls each plate'!L10)+6,ROW()+1))
)
)</f>
        <v>0.732421875</v>
      </c>
      <c r="M10" s="61" cm="1">
        <f t="array" aca="1" ref="M10" ca="1">IF(
MOD('Well calls each plate'!M10,1)=0,
INDIRECT("'Plate map key'!"&amp;ADDRESS('Well calls each plate'!M10+5,ROW()+1)),
AVERAGE(
INDIRECT("'Plate map key'!"&amp;ADDRESS(TRUNC('Well calls each plate'!M10)+5,ROW()+1)),
INDIRECT("'Plate map key'!"&amp;ADDRESS(TRUNC('Well calls each plate'!M10)+6,ROW()+1))
)
)</f>
        <v>0.732421875</v>
      </c>
      <c r="N10" s="61" cm="1">
        <f t="array" aca="1" ref="N10" ca="1">IF(
MOD('Well calls each plate'!N10,1)=0,
INDIRECT("'Plate map key'!"&amp;ADDRESS('Well calls each plate'!N10+5,ROW()+1)),
AVERAGE(
INDIRECT("'Plate map key'!"&amp;ADDRESS(TRUNC('Well calls each plate'!N10)+5,ROW()+1)),
INDIRECT("'Plate map key'!"&amp;ADDRESS(TRUNC('Well calls each plate'!N10)+6,ROW()+1))
)
)</f>
        <v>0.732421875</v>
      </c>
      <c r="O10" s="61" cm="1">
        <f t="array" aca="1" ref="O10" ca="1">IF(
MOD('Well calls each plate'!O10,1)=0,
INDIRECT("'Plate map key'!"&amp;ADDRESS('Well calls each plate'!O10+5,ROW()+1)),
AVERAGE(
INDIRECT("'Plate map key'!"&amp;ADDRESS(TRUNC('Well calls each plate'!O10)+5,ROW()+1)),
INDIRECT("'Plate map key'!"&amp;ADDRESS(TRUNC('Well calls each plate'!O10)+6,ROW()+1))
)
)</f>
        <v>1.953125</v>
      </c>
      <c r="P10" s="61" cm="1">
        <f t="array" aca="1" ref="P10" ca="1">IF(
MOD('Well calls each plate'!P10,1)=0,
INDIRECT("'Plate map key'!"&amp;ADDRESS('Well calls each plate'!P10+5,ROW()+1)),
AVERAGE(
INDIRECT("'Plate map key'!"&amp;ADDRESS(TRUNC('Well calls each plate'!P10)+5,ROW()+1)),
INDIRECT("'Plate map key'!"&amp;ADDRESS(TRUNC('Well calls each plate'!P10)+6,ROW()+1))
)
)</f>
        <v>1.953125</v>
      </c>
      <c r="Q10" s="61" cm="1">
        <f t="array" aca="1" ref="Q10" ca="1">IF(
MOD('Well calls each plate'!Q10,1)=0,
INDIRECT("'Plate map key'!"&amp;ADDRESS('Well calls each plate'!Q10+5,ROW()+1)),
AVERAGE(
INDIRECT("'Plate map key'!"&amp;ADDRESS(TRUNC('Well calls each plate'!Q10)+5,ROW()+1)),
INDIRECT("'Plate map key'!"&amp;ADDRESS(TRUNC('Well calls each plate'!Q10)+6,ROW()+1))
)
)</f>
        <v>1.953125</v>
      </c>
      <c r="R10" s="61" cm="1">
        <f t="array" aca="1" ref="R10" ca="1">IF(
MOD('Well calls each plate'!R10,1)=0,
INDIRECT("'Plate map key'!"&amp;ADDRESS('Well calls each plate'!R10+5,ROW()+1)),
AVERAGE(
INDIRECT("'Plate map key'!"&amp;ADDRESS(TRUNC('Well calls each plate'!R10)+5,ROW()+1)),
INDIRECT("'Plate map key'!"&amp;ADDRESS(TRUNC('Well calls each plate'!R10)+6,ROW()+1))
)
)</f>
        <v>1.46484375</v>
      </c>
      <c r="S10" s="61" cm="1">
        <f t="array" aca="1" ref="S10" ca="1">IF(
MOD('Well calls each plate'!S10,1)=0,
INDIRECT("'Plate map key'!"&amp;ADDRESS('Well calls each plate'!S10+5,ROW()+1)),
AVERAGE(
INDIRECT("'Plate map key'!"&amp;ADDRESS(TRUNC('Well calls each plate'!S10)+5,ROW()+1)),
INDIRECT("'Plate map key'!"&amp;ADDRESS(TRUNC('Well calls each plate'!S10)+6,ROW()+1))
)
)</f>
        <v>1.953125</v>
      </c>
      <c r="T10" s="61" cm="1">
        <f t="array" aca="1" ref="T10" ca="1">IF(
MOD('Well calls each plate'!T10,1)=0,
INDIRECT("'Plate map key'!"&amp;ADDRESS('Well calls each plate'!T10+5,ROW()+1)),
AVERAGE(
INDIRECT("'Plate map key'!"&amp;ADDRESS(TRUNC('Well calls each plate'!T10)+5,ROW()+1)),
INDIRECT("'Plate map key'!"&amp;ADDRESS(TRUNC('Well calls each plate'!T10)+6,ROW()+1))
)
)</f>
        <v>1.46484375</v>
      </c>
      <c r="U10" s="61" cm="1">
        <f t="array" aca="1" ref="U10" ca="1">IF(
MOD('Well calls each plate'!U10,1)=0,
INDIRECT("'Plate map key'!"&amp;ADDRESS('Well calls each plate'!U10+5,ROW()+1)),
AVERAGE(
INDIRECT("'Plate map key'!"&amp;ADDRESS(TRUNC('Well calls each plate'!U10)+5,ROW()+1)),
INDIRECT("'Plate map key'!"&amp;ADDRESS(TRUNC('Well calls each plate'!U10)+6,ROW()+1))
)
)</f>
        <v>1.953125</v>
      </c>
      <c r="V10" s="61" cm="1">
        <f t="array" aca="1" ref="V10" ca="1">IF(
MOD('Well calls each plate'!V10,1)=0,
INDIRECT("'Plate map key'!"&amp;ADDRESS('Well calls each plate'!V10+5,ROW()+1)),
AVERAGE(
INDIRECT("'Plate map key'!"&amp;ADDRESS(TRUNC('Well calls each plate'!V10)+5,ROW()+1)),
INDIRECT("'Plate map key'!"&amp;ADDRESS(TRUNC('Well calls each plate'!V10)+6,ROW()+1))
)
)</f>
        <v>1.953125</v>
      </c>
      <c r="W10" s="61" cm="1">
        <f t="array" aca="1" ref="W10" ca="1">IF(
MOD('Well calls each plate'!W10,1)=0,
INDIRECT("'Plate map key'!"&amp;ADDRESS('Well calls each plate'!W10+5,ROW()+1)),
AVERAGE(
INDIRECT("'Plate map key'!"&amp;ADDRESS(TRUNC('Well calls each plate'!W10)+5,ROW()+1)),
INDIRECT("'Plate map key'!"&amp;ADDRESS(TRUNC('Well calls each plate'!W10)+6,ROW()+1))
)
)</f>
        <v>1.953125</v>
      </c>
      <c r="X10" s="61" cm="1">
        <f t="array" aca="1" ref="X10" ca="1">IF(
MOD('Well calls each plate'!X10,1)=0,
INDIRECT("'Plate map key'!"&amp;ADDRESS('Well calls each plate'!X10+5,ROW()+1)),
AVERAGE(
INDIRECT("'Plate map key'!"&amp;ADDRESS(TRUNC('Well calls each plate'!X10)+5,ROW()+1)),
INDIRECT("'Plate map key'!"&amp;ADDRESS(TRUNC('Well calls each plate'!X10)+6,ROW()+1))
)
)</f>
        <v>0.3662109375</v>
      </c>
      <c r="Y10" s="61" cm="1">
        <f t="array" aca="1" ref="Y10" ca="1">IF(
MOD('Well calls each plate'!Y10,1)=0,
INDIRECT("'Plate map key'!"&amp;ADDRESS('Well calls each plate'!Y10+5,ROW()+1)),
AVERAGE(
INDIRECT("'Plate map key'!"&amp;ADDRESS(TRUNC('Well calls each plate'!Y10)+5,ROW()+1)),
INDIRECT("'Plate map key'!"&amp;ADDRESS(TRUNC('Well calls each plate'!Y10)+6,ROW()+1))
)
)</f>
        <v>0.3662109375</v>
      </c>
      <c r="Z10" s="61" cm="1">
        <f t="array" aca="1" ref="Z10" ca="1">IF(
MOD('Well calls each plate'!Z10,1)=0,
INDIRECT("'Plate map key'!"&amp;ADDRESS('Well calls each plate'!Z10+5,ROW()+1)),
AVERAGE(
INDIRECT("'Plate map key'!"&amp;ADDRESS(TRUNC('Well calls each plate'!Z10)+5,ROW()+1)),
INDIRECT("'Plate map key'!"&amp;ADDRESS(TRUNC('Well calls each plate'!Z10)+6,ROW()+1))
)
)</f>
        <v>0.3662109375</v>
      </c>
      <c r="AA10" s="61" cm="1">
        <f t="array" aca="1" ref="AA10" ca="1">IF(
MOD('Well calls each plate'!AA10,1)=0,
INDIRECT("'Plate map key'!"&amp;ADDRESS('Well calls each plate'!AA10+5,ROW()+1)),
AVERAGE(
INDIRECT("'Plate map key'!"&amp;ADDRESS(TRUNC('Well calls each plate'!AA10)+5,ROW()+1)),
INDIRECT("'Plate map key'!"&amp;ADDRESS(TRUNC('Well calls each plate'!AA10)+6,ROW()+1))
)
)</f>
        <v>0.18310546875</v>
      </c>
      <c r="AB10" s="61" cm="1">
        <f t="array" aca="1" ref="AB10" ca="1">IF(
MOD('Well calls each plate'!AB10,1)=0,
INDIRECT("'Plate map key'!"&amp;ADDRESS('Well calls each plate'!AB10+5,ROW()+1)),
AVERAGE(
INDIRECT("'Plate map key'!"&amp;ADDRESS(TRUNC('Well calls each plate'!AB10)+5,ROW()+1)),
INDIRECT("'Plate map key'!"&amp;ADDRESS(TRUNC('Well calls each plate'!AB10)+6,ROW()+1))
)
)</f>
        <v>0.1220703125</v>
      </c>
      <c r="AC10" s="61" cm="1">
        <f t="array" aca="1" ref="AC10" ca="1">IF(
MOD('Well calls each plate'!AC10,1)=0,
INDIRECT("'Plate map key'!"&amp;ADDRESS('Well calls each plate'!AC10+5,ROW()+1)),
AVERAGE(
INDIRECT("'Plate map key'!"&amp;ADDRESS(TRUNC('Well calls each plate'!AC10)+5,ROW()+1)),
INDIRECT("'Plate map key'!"&amp;ADDRESS(TRUNC('Well calls each plate'!AC10)+6,ROW()+1))
)
)</f>
        <v>0.1220703125</v>
      </c>
      <c r="AD10" s="61" cm="1">
        <f t="array" aca="1" ref="AD10" ca="1">IF(
MOD('Well calls each plate'!AD10,1)=0,
INDIRECT("'Plate map key'!"&amp;ADDRESS('Well calls each plate'!AD10+5,ROW()+1)),
AVERAGE(
INDIRECT("'Plate map key'!"&amp;ADDRESS(TRUNC('Well calls each plate'!AD10)+5,ROW()+1)),
INDIRECT("'Plate map key'!"&amp;ADDRESS(TRUNC('Well calls each plate'!AD10)+6,ROW()+1))
)
)</f>
        <v>0.9765625</v>
      </c>
      <c r="AE10" s="61" cm="1">
        <f t="array" aca="1" ref="AE10" ca="1">IF(
MOD('Well calls each plate'!AE10,1)=0,
INDIRECT("'Plate map key'!"&amp;ADDRESS('Well calls each plate'!AE10+5,ROW()+1)),
AVERAGE(
INDIRECT("'Plate map key'!"&amp;ADDRESS(TRUNC('Well calls each plate'!AE10)+5,ROW()+1)),
INDIRECT("'Plate map key'!"&amp;ADDRESS(TRUNC('Well calls each plate'!AE10)+6,ROW()+1))
)
)</f>
        <v>0.9765625</v>
      </c>
      <c r="AF10" s="61" cm="1">
        <f t="array" aca="1" ref="AF10" ca="1">IF(
MOD('Well calls each plate'!AF10,1)=0,
INDIRECT("'Plate map key'!"&amp;ADDRESS('Well calls each plate'!AF10+5,ROW()+1)),
AVERAGE(
INDIRECT("'Plate map key'!"&amp;ADDRESS(TRUNC('Well calls each plate'!AF10)+5,ROW()+1)),
INDIRECT("'Plate map key'!"&amp;ADDRESS(TRUNC('Well calls each plate'!AF10)+6,ROW()+1))
)
)</f>
        <v>0.9765625</v>
      </c>
      <c r="AG10" s="61" cm="1">
        <f t="array" aca="1" ref="AG10" ca="1">IF(
MOD('Well calls each plate'!AG10,1)=0,
INDIRECT("'Plate map key'!"&amp;ADDRESS('Well calls each plate'!AG10+5,ROW()+1)),
AVERAGE(
INDIRECT("'Plate map key'!"&amp;ADDRESS(TRUNC('Well calls each plate'!AG10)+5,ROW()+1)),
INDIRECT("'Plate map key'!"&amp;ADDRESS(TRUNC('Well calls each plate'!AG10)+6,ROW()+1))
)
)</f>
        <v>0.48828125</v>
      </c>
      <c r="AH10" s="61" cm="1">
        <f t="array" aca="1" ref="AH10" ca="1">IF(
MOD('Well calls each plate'!AH10,1)=0,
INDIRECT("'Plate map key'!"&amp;ADDRESS('Well calls each plate'!AH10+5,ROW()+1)),
AVERAGE(
INDIRECT("'Plate map key'!"&amp;ADDRESS(TRUNC('Well calls each plate'!AH10)+5,ROW()+1)),
INDIRECT("'Plate map key'!"&amp;ADDRESS(TRUNC('Well calls each plate'!AH10)+6,ROW()+1))
)
)</f>
        <v>0.48828125</v>
      </c>
      <c r="AI10" s="61" cm="1">
        <f t="array" aca="1" ref="AI10" ca="1">IF(
MOD('Well calls each plate'!AI10,1)=0,
INDIRECT("'Plate map key'!"&amp;ADDRESS('Well calls each plate'!AI10+5,ROW()+1)),
AVERAGE(
INDIRECT("'Plate map key'!"&amp;ADDRESS(TRUNC('Well calls each plate'!AI10)+5,ROW()+1)),
INDIRECT("'Plate map key'!"&amp;ADDRESS(TRUNC('Well calls each plate'!AI10)+6,ROW()+1))
)
)</f>
        <v>0.732421875</v>
      </c>
      <c r="AJ10" s="61" cm="1">
        <f t="array" aca="1" ref="AJ10" ca="1">IF(
MOD('Well calls each plate'!AJ10,1)=0,
INDIRECT("'Plate map key'!"&amp;ADDRESS('Well calls each plate'!AJ10+5,ROW()+1)),
AVERAGE(
INDIRECT("'Plate map key'!"&amp;ADDRESS(TRUNC('Well calls each plate'!AJ10)+5,ROW()+1)),
INDIRECT("'Plate map key'!"&amp;ADDRESS(TRUNC('Well calls each plate'!AJ10)+6,ROW()+1))
)
)</f>
        <v>1.953125</v>
      </c>
      <c r="AK10" s="61" cm="1">
        <f t="array" aca="1" ref="AK10" ca="1">IF(
MOD('Well calls each plate'!AK10,1)=0,
INDIRECT("'Plate map key'!"&amp;ADDRESS('Well calls each plate'!AK10+5,ROW()+1)),
AVERAGE(
INDIRECT("'Plate map key'!"&amp;ADDRESS(TRUNC('Well calls each plate'!AK10)+5,ROW()+1)),
INDIRECT("'Plate map key'!"&amp;ADDRESS(TRUNC('Well calls each plate'!AK10)+6,ROW()+1))
)
)</f>
        <v>1.953125</v>
      </c>
      <c r="AL10" s="61" cm="1">
        <f t="array" aca="1" ref="AL10" ca="1">IF(
MOD('Well calls each plate'!AL10,1)=0,
INDIRECT("'Plate map key'!"&amp;ADDRESS('Well calls each plate'!AL10+5,ROW()+1)),
AVERAGE(
INDIRECT("'Plate map key'!"&amp;ADDRESS(TRUNC('Well calls each plate'!AL10)+5,ROW()+1)),
INDIRECT("'Plate map key'!"&amp;ADDRESS(TRUNC('Well calls each plate'!AL10)+6,ROW()+1))
)
)</f>
        <v>1.953125</v>
      </c>
      <c r="AM10" s="61" cm="1">
        <f t="array" aca="1" ref="AM10" ca="1">IF(
MOD('Well calls each plate'!AM10,1)=0,
INDIRECT("'Plate map key'!"&amp;ADDRESS('Well calls each plate'!AM10+5,ROW()+1)),
AVERAGE(
INDIRECT("'Plate map key'!"&amp;ADDRESS(TRUNC('Well calls each plate'!AM10)+5,ROW()+1)),
INDIRECT("'Plate map key'!"&amp;ADDRESS(TRUNC('Well calls each plate'!AM10)+6,ROW()+1))
)
)</f>
        <v>2.9296875</v>
      </c>
      <c r="AN10" s="61" cm="1">
        <f t="array" aca="1" ref="AN10" ca="1">IF(
MOD('Well calls each plate'!AN10,1)=0,
INDIRECT("'Plate map key'!"&amp;ADDRESS('Well calls each plate'!AN10+5,ROW()+1)),
AVERAGE(
INDIRECT("'Plate map key'!"&amp;ADDRESS(TRUNC('Well calls each plate'!AN10)+5,ROW()+1)),
INDIRECT("'Plate map key'!"&amp;ADDRESS(TRUNC('Well calls each plate'!AN10)+6,ROW()+1))
)
)</f>
        <v>2.9296875</v>
      </c>
      <c r="AO10" s="61" cm="1">
        <f t="array" aca="1" ref="AO10" ca="1">IF(
MOD('Well calls each plate'!AO10,1)=0,
INDIRECT("'Plate map key'!"&amp;ADDRESS('Well calls each plate'!AO10+5,ROW()+1)),
AVERAGE(
INDIRECT("'Plate map key'!"&amp;ADDRESS(TRUNC('Well calls each plate'!AO10)+5,ROW()+1)),
INDIRECT("'Plate map key'!"&amp;ADDRESS(TRUNC('Well calls each plate'!AO10)+6,ROW()+1))
)
)</f>
        <v>2.9296875</v>
      </c>
      <c r="AP10" s="61" cm="1">
        <f t="array" aca="1" ref="AP10" ca="1">IF(
MOD('Well calls each plate'!AP10,1)=0,
INDIRECT("'Plate map key'!"&amp;ADDRESS('Well calls each plate'!AP10+5,ROW()+1)),
AVERAGE(
INDIRECT("'Plate map key'!"&amp;ADDRESS(TRUNC('Well calls each plate'!AP10)+5,ROW()+1)),
INDIRECT("'Plate map key'!"&amp;ADDRESS(TRUNC('Well calls each plate'!AP10)+6,ROW()+1))
)
)</f>
        <v>0.732421875</v>
      </c>
      <c r="AQ10" s="61" cm="1">
        <f t="array" aca="1" ref="AQ10" ca="1">IF(
MOD('Well calls each plate'!AQ10,1)=0,
INDIRECT("'Plate map key'!"&amp;ADDRESS('Well calls each plate'!AQ10+5,ROW()+1)),
AVERAGE(
INDIRECT("'Plate map key'!"&amp;ADDRESS(TRUNC('Well calls each plate'!AQ10)+5,ROW()+1)),
INDIRECT("'Plate map key'!"&amp;ADDRESS(TRUNC('Well calls each plate'!AQ10)+6,ROW()+1))
)
)</f>
        <v>0.732421875</v>
      </c>
      <c r="AR10" s="61" cm="1">
        <f t="array" aca="1" ref="AR10" ca="1">IF(
MOD('Well calls each plate'!AR10,1)=0,
INDIRECT("'Plate map key'!"&amp;ADDRESS('Well calls each plate'!AR10+5,ROW()+1)),
AVERAGE(
INDIRECT("'Plate map key'!"&amp;ADDRESS(TRUNC('Well calls each plate'!AR10)+5,ROW()+1)),
INDIRECT("'Plate map key'!"&amp;ADDRESS(TRUNC('Well calls each plate'!AR10)+6,ROW()+1))
)
)</f>
        <v>0.732421875</v>
      </c>
      <c r="AS10" s="61" cm="1">
        <f t="array" aca="1" ref="AS10" ca="1">IF(
MOD('Well calls each plate'!AS10,1)=0,
INDIRECT("'Plate map key'!"&amp;ADDRESS('Well calls each plate'!AS10+5,ROW()+1)),
AVERAGE(
INDIRECT("'Plate map key'!"&amp;ADDRESS(TRUNC('Well calls each plate'!AS10)+5,ROW()+1)),
INDIRECT("'Plate map key'!"&amp;ADDRESS(TRUNC('Well calls each plate'!AS10)+6,ROW()+1))
)
)</f>
        <v>1.46484375</v>
      </c>
      <c r="AT10" s="61" cm="1">
        <f t="array" aca="1" ref="AT10" ca="1">IF(
MOD('Well calls each plate'!AT10,1)=0,
INDIRECT("'Plate map key'!"&amp;ADDRESS('Well calls each plate'!AT10+5,ROW()+1)),
AVERAGE(
INDIRECT("'Plate map key'!"&amp;ADDRESS(TRUNC('Well calls each plate'!AT10)+5,ROW()+1)),
INDIRECT("'Plate map key'!"&amp;ADDRESS(TRUNC('Well calls each plate'!AT10)+6,ROW()+1))
)
)</f>
        <v>1.46484375</v>
      </c>
      <c r="AU10" s="61" cm="1">
        <f t="array" aca="1" ref="AU10" ca="1">IF(
MOD('Well calls each plate'!AU10,1)=0,
INDIRECT("'Plate map key'!"&amp;ADDRESS('Well calls each plate'!AU10+5,ROW()+1)),
AVERAGE(
INDIRECT("'Plate map key'!"&amp;ADDRESS(TRUNC('Well calls each plate'!AU10)+5,ROW()+1)),
INDIRECT("'Plate map key'!"&amp;ADDRESS(TRUNC('Well calls each plate'!AU10)+6,ROW()+1))
)
)</f>
        <v>1.46484375</v>
      </c>
      <c r="AV10" s="61" cm="1">
        <f t="array" aca="1" ref="AV10" ca="1">IF(
MOD('Well calls each plate'!AV10,1)=0,
INDIRECT("'Plate map key'!"&amp;ADDRESS('Well calls each plate'!AV10+5,ROW()+1)),
AVERAGE(
INDIRECT("'Plate map key'!"&amp;ADDRESS(TRUNC('Well calls each plate'!AV10)+5,ROW()+1)),
INDIRECT("'Plate map key'!"&amp;ADDRESS(TRUNC('Well calls each plate'!AV10)+6,ROW()+1))
)
)</f>
        <v>1.953125</v>
      </c>
      <c r="AW10" s="61" cm="1">
        <f t="array" aca="1" ref="AW10" ca="1">IF(
MOD('Well calls each plate'!AW10,1)=0,
INDIRECT("'Plate map key'!"&amp;ADDRESS('Well calls each plate'!AW10+5,ROW()+1)),
AVERAGE(
INDIRECT("'Plate map key'!"&amp;ADDRESS(TRUNC('Well calls each plate'!AW10)+5,ROW()+1)),
INDIRECT("'Plate map key'!"&amp;ADDRESS(TRUNC('Well calls each plate'!AW10)+6,ROW()+1))
)
)</f>
        <v>1.46484375</v>
      </c>
      <c r="AX10" s="61" cm="1">
        <f t="array" aca="1" ref="AX10" ca="1">IF(
MOD('Well calls each plate'!AX10,1)=0,
INDIRECT("'Plate map key'!"&amp;ADDRESS('Well calls each plate'!AX10+5,ROW()+1)),
AVERAGE(
INDIRECT("'Plate map key'!"&amp;ADDRESS(TRUNC('Well calls each plate'!AX10)+5,ROW()+1)),
INDIRECT("'Plate map key'!"&amp;ADDRESS(TRUNC('Well calls each plate'!AX10)+6,ROW()+1))
)
)</f>
        <v>1.46484375</v>
      </c>
      <c r="AY10" s="61" cm="1">
        <f t="array" aca="1" ref="AY10" ca="1">IF(
MOD('Well calls each plate'!AY10,1)=0,
INDIRECT("'Plate map key'!"&amp;ADDRESS('Well calls each plate'!AY10+5,ROW()+1)),
AVERAGE(
INDIRECT("'Plate map key'!"&amp;ADDRESS(TRUNC('Well calls each plate'!AY10)+5,ROW()+1)),
INDIRECT("'Plate map key'!"&amp;ADDRESS(TRUNC('Well calls each plate'!AY10)+6,ROW()+1))
)
)</f>
        <v>1.46484375</v>
      </c>
      <c r="AZ10" s="61" cm="1">
        <f t="array" aca="1" ref="AZ10" ca="1">IF(
MOD('Well calls each plate'!AZ10,1)=0,
INDIRECT("'Plate map key'!"&amp;ADDRESS('Well calls each plate'!AZ10+5,ROW()+1)),
AVERAGE(
INDIRECT("'Plate map key'!"&amp;ADDRESS(TRUNC('Well calls each plate'!AZ10)+5,ROW()+1)),
INDIRECT("'Plate map key'!"&amp;ADDRESS(TRUNC('Well calls each plate'!AZ10)+6,ROW()+1))
)
)</f>
        <v>1.953125</v>
      </c>
      <c r="BA10" s="61" cm="1">
        <f t="array" aca="1" ref="BA10" ca="1">IF(
MOD('Well calls each plate'!BA10,1)=0,
INDIRECT("'Plate map key'!"&amp;ADDRESS('Well calls each plate'!BA10+5,ROW()+1)),
AVERAGE(
INDIRECT("'Plate map key'!"&amp;ADDRESS(TRUNC('Well calls each plate'!BA10)+5,ROW()+1)),
INDIRECT("'Plate map key'!"&amp;ADDRESS(TRUNC('Well calls each plate'!BA10)+6,ROW()+1))
)
)</f>
        <v>1.46484375</v>
      </c>
      <c r="BB10" s="61" cm="1">
        <f t="array" aca="1" ref="BB10" ca="1">IF(
MOD('Well calls each plate'!BB10,1)=0,
INDIRECT("'Plate map key'!"&amp;ADDRESS('Well calls each plate'!BB10+5,ROW()+1)),
AVERAGE(
INDIRECT("'Plate map key'!"&amp;ADDRESS(TRUNC('Well calls each plate'!BB10)+5,ROW()+1)),
INDIRECT("'Plate map key'!"&amp;ADDRESS(TRUNC('Well calls each plate'!BB10)+6,ROW()+1))
)
)</f>
        <v>0.48828125</v>
      </c>
      <c r="BC10" s="61" cm="1">
        <f t="array" aca="1" ref="BC10" ca="1">IF(
MOD('Well calls each plate'!BC10,1)=0,
INDIRECT("'Plate map key'!"&amp;ADDRESS('Well calls each plate'!BC10+5,ROW()+1)),
AVERAGE(
INDIRECT("'Plate map key'!"&amp;ADDRESS(TRUNC('Well calls each plate'!BC10)+5,ROW()+1)),
INDIRECT("'Plate map key'!"&amp;ADDRESS(TRUNC('Well calls each plate'!BC10)+6,ROW()+1))
)
)</f>
        <v>1.46484375</v>
      </c>
      <c r="BD10" s="61" cm="1">
        <f t="array" aca="1" ref="BD10" ca="1">IF(
MOD('Well calls each plate'!BD10,1)=0,
INDIRECT("'Plate map key'!"&amp;ADDRESS('Well calls each plate'!BD10+5,ROW()+1)),
AVERAGE(
INDIRECT("'Plate map key'!"&amp;ADDRESS(TRUNC('Well calls each plate'!BD10)+5,ROW()+1)),
INDIRECT("'Plate map key'!"&amp;ADDRESS(TRUNC('Well calls each plate'!BD10)+6,ROW()+1))
)
)</f>
        <v>1.46484375</v>
      </c>
      <c r="BE10" s="61" cm="1">
        <f t="array" aca="1" ref="BE10" ca="1">IF(
MOD('Well calls each plate'!BE10,1)=0,
INDIRECT("'Plate map key'!"&amp;ADDRESS('Well calls each plate'!BE10+5,ROW()+1)),
AVERAGE(
INDIRECT("'Plate map key'!"&amp;ADDRESS(TRUNC('Well calls each plate'!BE10)+5,ROW()+1)),
INDIRECT("'Plate map key'!"&amp;ADDRESS(TRUNC('Well calls each plate'!BE10)+6,ROW()+1))
)
)</f>
        <v>0.732421875</v>
      </c>
      <c r="BF10" s="61" cm="1">
        <f t="array" aca="1" ref="BF10" ca="1">IF(
MOD('Well calls each plate'!BF10,1)=0,
INDIRECT("'Plate map key'!"&amp;ADDRESS('Well calls each plate'!BF10+5,ROW()+1)),
AVERAGE(
INDIRECT("'Plate map key'!"&amp;ADDRESS(TRUNC('Well calls each plate'!BF10)+5,ROW()+1)),
INDIRECT("'Plate map key'!"&amp;ADDRESS(TRUNC('Well calls each plate'!BF10)+6,ROW()+1))
)
)</f>
        <v>0.732421875</v>
      </c>
      <c r="BG10" s="61" cm="1">
        <f t="array" aca="1" ref="BG10" ca="1">IF(
MOD('Well calls each plate'!BG10,1)=0,
INDIRECT("'Plate map key'!"&amp;ADDRESS('Well calls each plate'!BG10+5,ROW()+1)),
AVERAGE(
INDIRECT("'Plate map key'!"&amp;ADDRESS(TRUNC('Well calls each plate'!BG10)+5,ROW()+1)),
INDIRECT("'Plate map key'!"&amp;ADDRESS(TRUNC('Well calls each plate'!BG10)+6,ROW()+1))
)
)</f>
        <v>0.732421875</v>
      </c>
      <c r="BH10" s="61" cm="1">
        <f t="array" aca="1" ref="BH10" ca="1">IF(
MOD('Well calls each plate'!BH10,1)=0,
INDIRECT("'Plate map key'!"&amp;ADDRESS('Well calls each plate'!BH10+5,ROW()+1)),
AVERAGE(
INDIRECT("'Plate map key'!"&amp;ADDRESS(TRUNC('Well calls each plate'!BH10)+5,ROW()+1)),
INDIRECT("'Plate map key'!"&amp;ADDRESS(TRUNC('Well calls each plate'!BH10)+6,ROW()+1))
)
)</f>
        <v>0.3662109375</v>
      </c>
      <c r="BI10" s="61" cm="1">
        <f t="array" aca="1" ref="BI10" ca="1">IF(
MOD('Well calls each plate'!BI10,1)=0,
INDIRECT("'Plate map key'!"&amp;ADDRESS('Well calls each plate'!BI10+5,ROW()+1)),
AVERAGE(
INDIRECT("'Plate map key'!"&amp;ADDRESS(TRUNC('Well calls each plate'!BI10)+5,ROW()+1)),
INDIRECT("'Plate map key'!"&amp;ADDRESS(TRUNC('Well calls each plate'!BI10)+6,ROW()+1))
)
)</f>
        <v>0.48828125</v>
      </c>
      <c r="BJ10" s="61" cm="1">
        <f t="array" aca="1" ref="BJ10" ca="1">IF(
MOD('Well calls each plate'!BJ10,1)=0,
INDIRECT("'Plate map key'!"&amp;ADDRESS('Well calls each plate'!BJ10+5,ROW()+1)),
AVERAGE(
INDIRECT("'Plate map key'!"&amp;ADDRESS(TRUNC('Well calls each plate'!BJ10)+5,ROW()+1)),
INDIRECT("'Plate map key'!"&amp;ADDRESS(TRUNC('Well calls each plate'!BJ10)+6,ROW()+1))
)
)</f>
        <v>0.48828125</v>
      </c>
      <c r="BK10" s="61" cm="1">
        <f t="array" aca="1" ref="BK10" ca="1">IF(
MOD('Well calls each plate'!BK10,1)=0,
INDIRECT("'Plate map key'!"&amp;ADDRESS('Well calls each plate'!BK10+5,ROW()+1)),
AVERAGE(
INDIRECT("'Plate map key'!"&amp;ADDRESS(TRUNC('Well calls each plate'!BK10)+5,ROW()+1)),
INDIRECT("'Plate map key'!"&amp;ADDRESS(TRUNC('Well calls each plate'!BK10)+6,ROW()+1))
)
)</f>
        <v>0.9765625</v>
      </c>
      <c r="BL10" s="61" cm="1">
        <f t="array" aca="1" ref="BL10" ca="1">IF(
MOD('Well calls each plate'!BL10,1)=0,
INDIRECT("'Plate map key'!"&amp;ADDRESS('Well calls each plate'!BL10+5,ROW()+1)),
AVERAGE(
INDIRECT("'Plate map key'!"&amp;ADDRESS(TRUNC('Well calls each plate'!BL10)+5,ROW()+1)),
INDIRECT("'Plate map key'!"&amp;ADDRESS(TRUNC('Well calls each plate'!BL10)+6,ROW()+1))
)
)</f>
        <v>0.9765625</v>
      </c>
      <c r="BM10" s="61" cm="1">
        <f t="array" aca="1" ref="BM10" ca="1">IF(
MOD('Well calls each plate'!BM10,1)=0,
INDIRECT("'Plate map key'!"&amp;ADDRESS('Well calls each plate'!BM10+5,ROW()+1)),
AVERAGE(
INDIRECT("'Plate map key'!"&amp;ADDRESS(TRUNC('Well calls each plate'!BM10)+5,ROW()+1)),
INDIRECT("'Plate map key'!"&amp;ADDRESS(TRUNC('Well calls each plate'!BM10)+6,ROW()+1))
)
)</f>
        <v>0.9765625</v>
      </c>
    </row>
    <row r="11" spans="2:65" x14ac:dyDescent="0.2">
      <c r="B11" s="50" t="s">
        <v>8</v>
      </c>
      <c r="C11" s="61" cm="1">
        <f t="array" aca="1" ref="C11" ca="1">IF(
MOD('Well calls each plate'!C11,1)=0,
INDIRECT("'Plate map key'!"&amp;ADDRESS('Well calls each plate'!C11+5,ROW()+1)),
AVERAGE(
INDIRECT("'Plate map key'!"&amp;ADDRESS(TRUNC('Well calls each plate'!C11)+5,ROW()+1)),
INDIRECT("'Plate map key'!"&amp;ADDRESS(TRUNC('Well calls each plate'!C11)+6,ROW()+1))
)
)</f>
        <v>250</v>
      </c>
      <c r="D11" s="61" cm="1">
        <f t="array" aca="1" ref="D11" ca="1">IF(
MOD('Well calls each plate'!D11,1)=0,
INDIRECT("'Plate map key'!"&amp;ADDRESS('Well calls each plate'!D11+5,ROW()+1)),
AVERAGE(
INDIRECT("'Plate map key'!"&amp;ADDRESS(TRUNC('Well calls each plate'!D11)+5,ROW()+1)),
INDIRECT("'Plate map key'!"&amp;ADDRESS(TRUNC('Well calls each plate'!D11)+6,ROW()+1))
)
)</f>
        <v>250</v>
      </c>
      <c r="E11" s="61" cm="1">
        <f t="array" aca="1" ref="E11" ca="1">IF(
MOD('Well calls each plate'!E11,1)=0,
INDIRECT("'Plate map key'!"&amp;ADDRESS('Well calls each plate'!E11+5,ROW()+1)),
AVERAGE(
INDIRECT("'Plate map key'!"&amp;ADDRESS(TRUNC('Well calls each plate'!E11)+5,ROW()+1)),
INDIRECT("'Plate map key'!"&amp;ADDRESS(TRUNC('Well calls each plate'!E11)+6,ROW()+1))
)
)</f>
        <v>250</v>
      </c>
      <c r="F11" s="61" cm="1">
        <f t="array" aca="1" ref="F11" ca="1">IF(
MOD('Well calls each plate'!F11,1)=0,
INDIRECT("'Plate map key'!"&amp;ADDRESS('Well calls each plate'!F11+5,ROW()+1)),
AVERAGE(
INDIRECT("'Plate map key'!"&amp;ADDRESS(TRUNC('Well calls each plate'!F11)+5,ROW()+1)),
INDIRECT("'Plate map key'!"&amp;ADDRESS(TRUNC('Well calls each plate'!F11)+6,ROW()+1))
)
)</f>
        <v>250</v>
      </c>
      <c r="G11" s="61" cm="1">
        <f t="array" aca="1" ref="G11" ca="1">IF(
MOD('Well calls each plate'!G11,1)=0,
INDIRECT("'Plate map key'!"&amp;ADDRESS('Well calls each plate'!G11+5,ROW()+1)),
AVERAGE(
INDIRECT("'Plate map key'!"&amp;ADDRESS(TRUNC('Well calls each plate'!G11)+5,ROW()+1)),
INDIRECT("'Plate map key'!"&amp;ADDRESS(TRUNC('Well calls each plate'!G11)+6,ROW()+1))
)
)</f>
        <v>250</v>
      </c>
      <c r="H11" s="61" cm="1">
        <f t="array" aca="1" ref="H11" ca="1">IF(
MOD('Well calls each plate'!H11,1)=0,
INDIRECT("'Plate map key'!"&amp;ADDRESS('Well calls each plate'!H11+5,ROW()+1)),
AVERAGE(
INDIRECT("'Plate map key'!"&amp;ADDRESS(TRUNC('Well calls each plate'!H11)+5,ROW()+1)),
INDIRECT("'Plate map key'!"&amp;ADDRESS(TRUNC('Well calls each plate'!H11)+6,ROW()+1))
)
)</f>
        <v>250</v>
      </c>
      <c r="I11" s="61" cm="1">
        <f t="array" aca="1" ref="I11" ca="1">IF(
MOD('Well calls each plate'!I11,1)=0,
INDIRECT("'Plate map key'!"&amp;ADDRESS('Well calls each plate'!I11+5,ROW()+1)),
AVERAGE(
INDIRECT("'Plate map key'!"&amp;ADDRESS(TRUNC('Well calls each plate'!I11)+5,ROW()+1)),
INDIRECT("'Plate map key'!"&amp;ADDRESS(TRUNC('Well calls each plate'!I11)+6,ROW()+1))
)
)</f>
        <v>125</v>
      </c>
      <c r="J11" s="61" cm="1">
        <f t="array" aca="1" ref="J11" ca="1">IF(
MOD('Well calls each plate'!J11,1)=0,
INDIRECT("'Plate map key'!"&amp;ADDRESS('Well calls each plate'!J11+5,ROW()+1)),
AVERAGE(
INDIRECT("'Plate map key'!"&amp;ADDRESS(TRUNC('Well calls each plate'!J11)+5,ROW()+1)),
INDIRECT("'Plate map key'!"&amp;ADDRESS(TRUNC('Well calls each plate'!J11)+6,ROW()+1))
)
)</f>
        <v>125</v>
      </c>
      <c r="K11" s="61" cm="1">
        <f t="array" aca="1" ref="K11" ca="1">IF(
MOD('Well calls each plate'!K11,1)=0,
INDIRECT("'Plate map key'!"&amp;ADDRESS('Well calls each plate'!K11+5,ROW()+1)),
AVERAGE(
INDIRECT("'Plate map key'!"&amp;ADDRESS(TRUNC('Well calls each plate'!K11)+5,ROW()+1)),
INDIRECT("'Plate map key'!"&amp;ADDRESS(TRUNC('Well calls each plate'!K11)+6,ROW()+1))
)
)</f>
        <v>125</v>
      </c>
      <c r="L11" s="61" cm="1">
        <f t="array" aca="1" ref="L11" ca="1">IF(
MOD('Well calls each plate'!L11,1)=0,
INDIRECT("'Plate map key'!"&amp;ADDRESS('Well calls each plate'!L11+5,ROW()+1)),
AVERAGE(
INDIRECT("'Plate map key'!"&amp;ADDRESS(TRUNC('Well calls each plate'!L11)+5,ROW()+1)),
INDIRECT("'Plate map key'!"&amp;ADDRESS(TRUNC('Well calls each plate'!L11)+6,ROW()+1))
)
)</f>
        <v>187.5</v>
      </c>
      <c r="M11" s="61" cm="1">
        <f t="array" aca="1" ref="M11" ca="1">IF(
MOD('Well calls each plate'!M11,1)=0,
INDIRECT("'Plate map key'!"&amp;ADDRESS('Well calls each plate'!M11+5,ROW()+1)),
AVERAGE(
INDIRECT("'Plate map key'!"&amp;ADDRESS(TRUNC('Well calls each plate'!M11)+5,ROW()+1)),
INDIRECT("'Plate map key'!"&amp;ADDRESS(TRUNC('Well calls each plate'!M11)+6,ROW()+1))
)
)</f>
        <v>93.75</v>
      </c>
      <c r="N11" s="61" cm="1">
        <f t="array" aca="1" ref="N11" ca="1">IF(
MOD('Well calls each plate'!N11,1)=0,
INDIRECT("'Plate map key'!"&amp;ADDRESS('Well calls each plate'!N11+5,ROW()+1)),
AVERAGE(
INDIRECT("'Plate map key'!"&amp;ADDRESS(TRUNC('Well calls each plate'!N11)+5,ROW()+1)),
INDIRECT("'Plate map key'!"&amp;ADDRESS(TRUNC('Well calls each plate'!N11)+6,ROW()+1))
)
)</f>
        <v>93.75</v>
      </c>
      <c r="O11" s="61" cm="1">
        <f t="array" aca="1" ref="O11" ca="1">IF(
MOD('Well calls each plate'!O11,1)=0,
INDIRECT("'Plate map key'!"&amp;ADDRESS('Well calls each plate'!O11+5,ROW()+1)),
AVERAGE(
INDIRECT("'Plate map key'!"&amp;ADDRESS(TRUNC('Well calls each plate'!O11)+5,ROW()+1)),
INDIRECT("'Plate map key'!"&amp;ADDRESS(TRUNC('Well calls each plate'!O11)+6,ROW()+1))
)
)</f>
        <v>125</v>
      </c>
      <c r="P11" s="61" cm="1">
        <f t="array" aca="1" ref="P11" ca="1">IF(
MOD('Well calls each plate'!P11,1)=0,
INDIRECT("'Plate map key'!"&amp;ADDRESS('Well calls each plate'!P11+5,ROW()+1)),
AVERAGE(
INDIRECT("'Plate map key'!"&amp;ADDRESS(TRUNC('Well calls each plate'!P11)+5,ROW()+1)),
INDIRECT("'Plate map key'!"&amp;ADDRESS(TRUNC('Well calls each plate'!P11)+6,ROW()+1))
)
)</f>
        <v>125</v>
      </c>
      <c r="Q11" s="61" cm="1">
        <f t="array" aca="1" ref="Q11" ca="1">IF(
MOD('Well calls each plate'!Q11,1)=0,
INDIRECT("'Plate map key'!"&amp;ADDRESS('Well calls each plate'!Q11+5,ROW()+1)),
AVERAGE(
INDIRECT("'Plate map key'!"&amp;ADDRESS(TRUNC('Well calls each plate'!Q11)+5,ROW()+1)),
INDIRECT("'Plate map key'!"&amp;ADDRESS(TRUNC('Well calls each plate'!Q11)+6,ROW()+1))
)
)</f>
        <v>125</v>
      </c>
      <c r="R11" s="64">
        <f ca="1">MEDIAN(S11:T11)</f>
        <v>35.15625</v>
      </c>
      <c r="S11" s="61" cm="1">
        <f t="array" aca="1" ref="S11" ca="1">IF(
MOD('Well calls each plate'!S11,1)=0,
INDIRECT("'Plate map key'!"&amp;ADDRESS('Well calls each plate'!S11+5,ROW()+1)),
AVERAGE(
INDIRECT("'Plate map key'!"&amp;ADDRESS(TRUNC('Well calls each plate'!S11)+5,ROW()+1)),
INDIRECT("'Plate map key'!"&amp;ADDRESS(TRUNC('Well calls each plate'!S11)+6,ROW()+1))
)
)</f>
        <v>46.875</v>
      </c>
      <c r="T11" s="61" cm="1">
        <f t="array" aca="1" ref="T11" ca="1">IF(
MOD('Well calls each plate'!T11,1)=0,
INDIRECT("'Plate map key'!"&amp;ADDRESS('Well calls each plate'!T11+5,ROW()+1)),
AVERAGE(
INDIRECT("'Plate map key'!"&amp;ADDRESS(TRUNC('Well calls each plate'!T11)+5,ROW()+1)),
INDIRECT("'Plate map key'!"&amp;ADDRESS(TRUNC('Well calls each plate'!T11)+6,ROW()+1))
)
)</f>
        <v>23.4375</v>
      </c>
      <c r="U11" s="61" cm="1">
        <f t="array" aca="1" ref="U11" ca="1">IF(
MOD('Well calls each plate'!U11,1)=0,
INDIRECT("'Plate map key'!"&amp;ADDRESS('Well calls each plate'!U11+5,ROW()+1)),
AVERAGE(
INDIRECT("'Plate map key'!"&amp;ADDRESS(TRUNC('Well calls each plate'!U11)+5,ROW()+1)),
INDIRECT("'Plate map key'!"&amp;ADDRESS(TRUNC('Well calls each plate'!U11)+6,ROW()+1))
)
)</f>
        <v>23.4375</v>
      </c>
      <c r="V11" s="61" cm="1">
        <f t="array" aca="1" ref="V11" ca="1">IF(
MOD('Well calls each plate'!V11,1)=0,
INDIRECT("'Plate map key'!"&amp;ADDRESS('Well calls each plate'!V11+5,ROW()+1)),
AVERAGE(
INDIRECT("'Plate map key'!"&amp;ADDRESS(TRUNC('Well calls each plate'!V11)+5,ROW()+1)),
INDIRECT("'Plate map key'!"&amp;ADDRESS(TRUNC('Well calls each plate'!V11)+6,ROW()+1))
)
)</f>
        <v>23.4375</v>
      </c>
      <c r="W11" s="61" cm="1">
        <f t="array" aca="1" ref="W11" ca="1">IF(
MOD('Well calls each plate'!W11,1)=0,
INDIRECT("'Plate map key'!"&amp;ADDRESS('Well calls each plate'!W11+5,ROW()+1)),
AVERAGE(
INDIRECT("'Plate map key'!"&amp;ADDRESS(TRUNC('Well calls each plate'!W11)+5,ROW()+1)),
INDIRECT("'Plate map key'!"&amp;ADDRESS(TRUNC('Well calls each plate'!W11)+6,ROW()+1))
)
)</f>
        <v>23.4375</v>
      </c>
      <c r="X11" s="61" cm="1">
        <f t="array" aca="1" ref="X11" ca="1">IF(
MOD('Well calls each plate'!X11,1)=0,
INDIRECT("'Plate map key'!"&amp;ADDRESS('Well calls each plate'!X11+5,ROW()+1)),
AVERAGE(
INDIRECT("'Plate map key'!"&amp;ADDRESS(TRUNC('Well calls each plate'!X11)+5,ROW()+1)),
INDIRECT("'Plate map key'!"&amp;ADDRESS(TRUNC('Well calls each plate'!X11)+6,ROW()+1))
)
)</f>
        <v>23.4375</v>
      </c>
      <c r="Y11" s="61" cm="1">
        <f t="array" aca="1" ref="Y11" ca="1">IF(
MOD('Well calls each plate'!Y11,1)=0,
INDIRECT("'Plate map key'!"&amp;ADDRESS('Well calls each plate'!Y11+5,ROW()+1)),
AVERAGE(
INDIRECT("'Plate map key'!"&amp;ADDRESS(TRUNC('Well calls each plate'!Y11)+5,ROW()+1)),
INDIRECT("'Plate map key'!"&amp;ADDRESS(TRUNC('Well calls each plate'!Y11)+6,ROW()+1))
)
)</f>
        <v>11.71875</v>
      </c>
      <c r="Z11" s="61" cm="1">
        <f t="array" aca="1" ref="Z11" ca="1">IF(
MOD('Well calls each plate'!Z11,1)=0,
INDIRECT("'Plate map key'!"&amp;ADDRESS('Well calls each plate'!Z11+5,ROW()+1)),
AVERAGE(
INDIRECT("'Plate map key'!"&amp;ADDRESS(TRUNC('Well calls each plate'!Z11)+5,ROW()+1)),
INDIRECT("'Plate map key'!"&amp;ADDRESS(TRUNC('Well calls each plate'!Z11)+6,ROW()+1))
)
)</f>
        <v>23.4375</v>
      </c>
      <c r="AA11" s="61" cm="1">
        <f t="array" aca="1" ref="AA11" ca="1">IF(
MOD('Well calls each plate'!AA11,1)=0,
INDIRECT("'Plate map key'!"&amp;ADDRESS('Well calls each plate'!AA11+5,ROW()+1)),
AVERAGE(
INDIRECT("'Plate map key'!"&amp;ADDRESS(TRUNC('Well calls each plate'!AA11)+5,ROW()+1)),
INDIRECT("'Plate map key'!"&amp;ADDRESS(TRUNC('Well calls each plate'!AA11)+6,ROW()+1))
)
)</f>
        <v>15.625</v>
      </c>
      <c r="AB11" s="61" cm="1">
        <f t="array" aca="1" ref="AB11" ca="1">IF(
MOD('Well calls each plate'!AB11,1)=0,
INDIRECT("'Plate map key'!"&amp;ADDRESS('Well calls each plate'!AB11+5,ROW()+1)),
AVERAGE(
INDIRECT("'Plate map key'!"&amp;ADDRESS(TRUNC('Well calls each plate'!AB11)+5,ROW()+1)),
INDIRECT("'Plate map key'!"&amp;ADDRESS(TRUNC('Well calls each plate'!AB11)+6,ROW()+1))
)
)</f>
        <v>23.4375</v>
      </c>
      <c r="AC11" s="61" cm="1">
        <f t="array" aca="1" ref="AC11" ca="1">IF(
MOD('Well calls each plate'!AC11,1)=0,
INDIRECT("'Plate map key'!"&amp;ADDRESS('Well calls each plate'!AC11+5,ROW()+1)),
AVERAGE(
INDIRECT("'Plate map key'!"&amp;ADDRESS(TRUNC('Well calls each plate'!AC11)+5,ROW()+1)),
INDIRECT("'Plate map key'!"&amp;ADDRESS(TRUNC('Well calls each plate'!AC11)+6,ROW()+1))
)
)</f>
        <v>23.4375</v>
      </c>
      <c r="AD11" s="61" cm="1">
        <f t="array" aca="1" ref="AD11" ca="1">IF(
MOD('Well calls each plate'!AD11,1)=0,
INDIRECT("'Plate map key'!"&amp;ADDRESS('Well calls each plate'!AD11+5,ROW()+1)),
AVERAGE(
INDIRECT("'Plate map key'!"&amp;ADDRESS(TRUNC('Well calls each plate'!AD11)+5,ROW()+1)),
INDIRECT("'Plate map key'!"&amp;ADDRESS(TRUNC('Well calls each plate'!AD11)+6,ROW()+1))
)
)</f>
        <v>31.25</v>
      </c>
      <c r="AE11" s="61" cm="1">
        <f t="array" aca="1" ref="AE11" ca="1">IF(
MOD('Well calls each plate'!AE11,1)=0,
INDIRECT("'Plate map key'!"&amp;ADDRESS('Well calls each plate'!AE11+5,ROW()+1)),
AVERAGE(
INDIRECT("'Plate map key'!"&amp;ADDRESS(TRUNC('Well calls each plate'!AE11)+5,ROW()+1)),
INDIRECT("'Plate map key'!"&amp;ADDRESS(TRUNC('Well calls each plate'!AE11)+6,ROW()+1))
)
)</f>
        <v>15.625</v>
      </c>
      <c r="AF11" s="61" cm="1">
        <f t="array" aca="1" ref="AF11" ca="1">IF(
MOD('Well calls each plate'!AF11,1)=0,
INDIRECT("'Plate map key'!"&amp;ADDRESS('Well calls each plate'!AF11+5,ROW()+1)),
AVERAGE(
INDIRECT("'Plate map key'!"&amp;ADDRESS(TRUNC('Well calls each plate'!AF11)+5,ROW()+1)),
INDIRECT("'Plate map key'!"&amp;ADDRESS(TRUNC('Well calls each plate'!AF11)+6,ROW()+1))
)
)</f>
        <v>15.625</v>
      </c>
      <c r="AG11" s="61" cm="1">
        <f t="array" aca="1" ref="AG11" ca="1">IF(
MOD('Well calls each plate'!AG11,1)=0,
INDIRECT("'Plate map key'!"&amp;ADDRESS('Well calls each plate'!AG11+5,ROW()+1)),
AVERAGE(
INDIRECT("'Plate map key'!"&amp;ADDRESS(TRUNC('Well calls each plate'!AG11)+5,ROW()+1)),
INDIRECT("'Plate map key'!"&amp;ADDRESS(TRUNC('Well calls each plate'!AG11)+6,ROW()+1))
)
)</f>
        <v>11.71875</v>
      </c>
      <c r="AH11" s="61" cm="1">
        <f t="array" aca="1" ref="AH11" ca="1">IF(
MOD('Well calls each plate'!AH11,1)=0,
INDIRECT("'Plate map key'!"&amp;ADDRESS('Well calls each plate'!AH11+5,ROW()+1)),
AVERAGE(
INDIRECT("'Plate map key'!"&amp;ADDRESS(TRUNC('Well calls each plate'!AH11)+5,ROW()+1)),
INDIRECT("'Plate map key'!"&amp;ADDRESS(TRUNC('Well calls each plate'!AH11)+6,ROW()+1))
)
)</f>
        <v>11.71875</v>
      </c>
      <c r="AI11" s="61" cm="1">
        <f t="array" aca="1" ref="AI11" ca="1">IF(
MOD('Well calls each plate'!AI11,1)=0,
INDIRECT("'Plate map key'!"&amp;ADDRESS('Well calls each plate'!AI11+5,ROW()+1)),
AVERAGE(
INDIRECT("'Plate map key'!"&amp;ADDRESS(TRUNC('Well calls each plate'!AI11)+5,ROW()+1)),
INDIRECT("'Plate map key'!"&amp;ADDRESS(TRUNC('Well calls each plate'!AI11)+6,ROW()+1))
)
)</f>
        <v>11.71875</v>
      </c>
      <c r="AJ11" s="61" cm="1">
        <f t="array" aca="1" ref="AJ11" ca="1">IF(
MOD('Well calls each plate'!AJ11,1)=0,
INDIRECT("'Plate map key'!"&amp;ADDRESS('Well calls each plate'!AJ11+5,ROW()+1)),
AVERAGE(
INDIRECT("'Plate map key'!"&amp;ADDRESS(TRUNC('Well calls each plate'!AJ11)+5,ROW()+1)),
INDIRECT("'Plate map key'!"&amp;ADDRESS(TRUNC('Well calls each plate'!AJ11)+6,ROW()+1))
)
)</f>
        <v>11.71875</v>
      </c>
      <c r="AK11" s="61" cm="1">
        <f t="array" aca="1" ref="AK11" ca="1">IF(
MOD('Well calls each plate'!AK11,1)=0,
INDIRECT("'Plate map key'!"&amp;ADDRESS('Well calls each plate'!AK11+5,ROW()+1)),
AVERAGE(
INDIRECT("'Plate map key'!"&amp;ADDRESS(TRUNC('Well calls each plate'!AK11)+5,ROW()+1)),
INDIRECT("'Plate map key'!"&amp;ADDRESS(TRUNC('Well calls each plate'!AK11)+6,ROW()+1))
)
)</f>
        <v>5.859375</v>
      </c>
      <c r="AL11" s="61" cm="1">
        <f t="array" aca="1" ref="AL11" ca="1">IF(
MOD('Well calls each plate'!AL11,1)=0,
INDIRECT("'Plate map key'!"&amp;ADDRESS('Well calls each plate'!AL11+5,ROW()+1)),
AVERAGE(
INDIRECT("'Plate map key'!"&amp;ADDRESS(TRUNC('Well calls each plate'!AL11)+5,ROW()+1)),
INDIRECT("'Plate map key'!"&amp;ADDRESS(TRUNC('Well calls each plate'!AL11)+6,ROW()+1))
)
)</f>
        <v>5.859375</v>
      </c>
      <c r="AM11" s="61" cm="1">
        <f t="array" aca="1" ref="AM11" ca="1">IF(
MOD('Well calls each plate'!AM11,1)=0,
INDIRECT("'Plate map key'!"&amp;ADDRESS('Well calls each plate'!AM11+5,ROW()+1)),
AVERAGE(
INDIRECT("'Plate map key'!"&amp;ADDRESS(TRUNC('Well calls each plate'!AM11)+5,ROW()+1)),
INDIRECT("'Plate map key'!"&amp;ADDRESS(TRUNC('Well calls each plate'!AM11)+6,ROW()+1))
)
)</f>
        <v>5.859375</v>
      </c>
      <c r="AN11" s="61" cm="1">
        <f t="array" aca="1" ref="AN11" ca="1">IF(
MOD('Well calls each plate'!AN11,1)=0,
INDIRECT("'Plate map key'!"&amp;ADDRESS('Well calls each plate'!AN11+5,ROW()+1)),
AVERAGE(
INDIRECT("'Plate map key'!"&amp;ADDRESS(TRUNC('Well calls each plate'!AN11)+5,ROW()+1)),
INDIRECT("'Plate map key'!"&amp;ADDRESS(TRUNC('Well calls each plate'!AN11)+6,ROW()+1))
)
)</f>
        <v>5.859375</v>
      </c>
      <c r="AO11" s="61" cm="1">
        <f t="array" aca="1" ref="AO11" ca="1">IF(
MOD('Well calls each plate'!AO11,1)=0,
INDIRECT("'Plate map key'!"&amp;ADDRESS('Well calls each plate'!AO11+5,ROW()+1)),
AVERAGE(
INDIRECT("'Plate map key'!"&amp;ADDRESS(TRUNC('Well calls each plate'!AO11)+5,ROW()+1)),
INDIRECT("'Plate map key'!"&amp;ADDRESS(TRUNC('Well calls each plate'!AO11)+6,ROW()+1))
)
)</f>
        <v>5.859375</v>
      </c>
      <c r="AP11" s="61" cm="1">
        <f t="array" aca="1" ref="AP11" ca="1">IF(
MOD('Well calls each plate'!AP11,1)=0,
INDIRECT("'Plate map key'!"&amp;ADDRESS('Well calls each plate'!AP11+5,ROW()+1)),
AVERAGE(
INDIRECT("'Plate map key'!"&amp;ADDRESS(TRUNC('Well calls each plate'!AP11)+5,ROW()+1)),
INDIRECT("'Plate map key'!"&amp;ADDRESS(TRUNC('Well calls each plate'!AP11)+6,ROW()+1))
)
)</f>
        <v>5.859375</v>
      </c>
      <c r="AQ11" s="61" cm="1">
        <f t="array" aca="1" ref="AQ11" ca="1">IF(
MOD('Well calls each plate'!AQ11,1)=0,
INDIRECT("'Plate map key'!"&amp;ADDRESS('Well calls each plate'!AQ11+5,ROW()+1)),
AVERAGE(
INDIRECT("'Plate map key'!"&amp;ADDRESS(TRUNC('Well calls each plate'!AQ11)+5,ROW()+1)),
INDIRECT("'Plate map key'!"&amp;ADDRESS(TRUNC('Well calls each plate'!AQ11)+6,ROW()+1))
)
)</f>
        <v>5.859375</v>
      </c>
      <c r="AR11" s="61" cm="1">
        <f t="array" aca="1" ref="AR11" ca="1">IF(
MOD('Well calls each plate'!AR11,1)=0,
INDIRECT("'Plate map key'!"&amp;ADDRESS('Well calls each plate'!AR11+5,ROW()+1)),
AVERAGE(
INDIRECT("'Plate map key'!"&amp;ADDRESS(TRUNC('Well calls each plate'!AR11)+5,ROW()+1)),
INDIRECT("'Plate map key'!"&amp;ADDRESS(TRUNC('Well calls each plate'!AR11)+6,ROW()+1))
)
)</f>
        <v>5.859375</v>
      </c>
      <c r="AS11" s="61" cm="1">
        <f t="array" aca="1" ref="AS11" ca="1">IF(
MOD('Well calls each plate'!AS11,1)=0,
INDIRECT("'Plate map key'!"&amp;ADDRESS('Well calls each plate'!AS11+5,ROW()+1)),
AVERAGE(
INDIRECT("'Plate map key'!"&amp;ADDRESS(TRUNC('Well calls each plate'!AS11)+5,ROW()+1)),
INDIRECT("'Plate map key'!"&amp;ADDRESS(TRUNC('Well calls each plate'!AS11)+6,ROW()+1))
)
)</f>
        <v>5.859375</v>
      </c>
      <c r="AT11" s="61" cm="1">
        <f t="array" aca="1" ref="AT11" ca="1">IF(
MOD('Well calls each plate'!AT11,1)=0,
INDIRECT("'Plate map key'!"&amp;ADDRESS('Well calls each plate'!AT11+5,ROW()+1)),
AVERAGE(
INDIRECT("'Plate map key'!"&amp;ADDRESS(TRUNC('Well calls each plate'!AT11)+5,ROW()+1)),
INDIRECT("'Plate map key'!"&amp;ADDRESS(TRUNC('Well calls each plate'!AT11)+6,ROW()+1))
)
)</f>
        <v>5.859375</v>
      </c>
      <c r="AU11" s="61" cm="1">
        <f t="array" aca="1" ref="AU11" ca="1">IF(
MOD('Well calls each plate'!AU11,1)=0,
INDIRECT("'Plate map key'!"&amp;ADDRESS('Well calls each plate'!AU11+5,ROW()+1)),
AVERAGE(
INDIRECT("'Plate map key'!"&amp;ADDRESS(TRUNC('Well calls each plate'!AU11)+5,ROW()+1)),
INDIRECT("'Plate map key'!"&amp;ADDRESS(TRUNC('Well calls each plate'!AU11)+6,ROW()+1))
)
)</f>
        <v>5.859375</v>
      </c>
      <c r="AV11" s="61" cm="1">
        <f t="array" aca="1" ref="AV11" ca="1">IF(
MOD('Well calls each plate'!AV11,1)=0,
INDIRECT("'Plate map key'!"&amp;ADDRESS('Well calls each plate'!AV11+5,ROW()+1)),
AVERAGE(
INDIRECT("'Plate map key'!"&amp;ADDRESS(TRUNC('Well calls each plate'!AV11)+5,ROW()+1)),
INDIRECT("'Plate map key'!"&amp;ADDRESS(TRUNC('Well calls each plate'!AV11)+6,ROW()+1))
)
)</f>
        <v>3.90625</v>
      </c>
      <c r="AW11" s="61" cm="1">
        <f t="array" aca="1" ref="AW11" ca="1">IF(
MOD('Well calls each plate'!AW11,1)=0,
INDIRECT("'Plate map key'!"&amp;ADDRESS('Well calls each plate'!AW11+5,ROW()+1)),
AVERAGE(
INDIRECT("'Plate map key'!"&amp;ADDRESS(TRUNC('Well calls each plate'!AW11)+5,ROW()+1)),
INDIRECT("'Plate map key'!"&amp;ADDRESS(TRUNC('Well calls each plate'!AW11)+6,ROW()+1))
)
)</f>
        <v>3.90625</v>
      </c>
      <c r="AX11" s="61" cm="1">
        <f t="array" aca="1" ref="AX11" ca="1">IF(
MOD('Well calls each plate'!AX11,1)=0,
INDIRECT("'Plate map key'!"&amp;ADDRESS('Well calls each plate'!AX11+5,ROW()+1)),
AVERAGE(
INDIRECT("'Plate map key'!"&amp;ADDRESS(TRUNC('Well calls each plate'!AX11)+5,ROW()+1)),
INDIRECT("'Plate map key'!"&amp;ADDRESS(TRUNC('Well calls each plate'!AX11)+6,ROW()+1))
)
)</f>
        <v>5.859375</v>
      </c>
      <c r="AY11" s="61" cm="1">
        <f t="array" aca="1" ref="AY11" ca="1">IF(
MOD('Well calls each plate'!AY11,1)=0,
INDIRECT("'Plate map key'!"&amp;ADDRESS('Well calls each plate'!AY11+5,ROW()+1)),
AVERAGE(
INDIRECT("'Plate map key'!"&amp;ADDRESS(TRUNC('Well calls each plate'!AY11)+5,ROW()+1)),
INDIRECT("'Plate map key'!"&amp;ADDRESS(TRUNC('Well calls each plate'!AY11)+6,ROW()+1))
)
)</f>
        <v>3.90625</v>
      </c>
      <c r="AZ11" s="61" cm="1">
        <f t="array" aca="1" ref="AZ11" ca="1">IF(
MOD('Well calls each plate'!AZ11,1)=0,
INDIRECT("'Plate map key'!"&amp;ADDRESS('Well calls each plate'!AZ11+5,ROW()+1)),
AVERAGE(
INDIRECT("'Plate map key'!"&amp;ADDRESS(TRUNC('Well calls each plate'!AZ11)+5,ROW()+1)),
INDIRECT("'Plate map key'!"&amp;ADDRESS(TRUNC('Well calls each plate'!AZ11)+6,ROW()+1))
)
)</f>
        <v>3.90625</v>
      </c>
      <c r="BA11" s="61" cm="1">
        <f t="array" aca="1" ref="BA11" ca="1">IF(
MOD('Well calls each plate'!BA11,1)=0,
INDIRECT("'Plate map key'!"&amp;ADDRESS('Well calls each plate'!BA11+5,ROW()+1)),
AVERAGE(
INDIRECT("'Plate map key'!"&amp;ADDRESS(TRUNC('Well calls each plate'!BA11)+5,ROW()+1)),
INDIRECT("'Plate map key'!"&amp;ADDRESS(TRUNC('Well calls each plate'!BA11)+6,ROW()+1))
)
)</f>
        <v>2.9296875</v>
      </c>
      <c r="BB11" s="61" cm="1">
        <f t="array" aca="1" ref="BB11" ca="1">IF(
MOD('Well calls each plate'!BB11,1)=0,
INDIRECT("'Plate map key'!"&amp;ADDRESS('Well calls each plate'!BB11+5,ROW()+1)),
AVERAGE(
INDIRECT("'Plate map key'!"&amp;ADDRESS(TRUNC('Well calls each plate'!BB11)+5,ROW()+1)),
INDIRECT("'Plate map key'!"&amp;ADDRESS(TRUNC('Well calls each plate'!BB11)+6,ROW()+1))
)
)</f>
        <v>3.90625</v>
      </c>
      <c r="BC11" s="61" cm="1">
        <f t="array" aca="1" ref="BC11" ca="1">IF(
MOD('Well calls each plate'!BC11,1)=0,
INDIRECT("'Plate map key'!"&amp;ADDRESS('Well calls each plate'!BC11+5,ROW()+1)),
AVERAGE(
INDIRECT("'Plate map key'!"&amp;ADDRESS(TRUNC('Well calls each plate'!BC11)+5,ROW()+1)),
INDIRECT("'Plate map key'!"&amp;ADDRESS(TRUNC('Well calls each plate'!BC11)+6,ROW()+1))
)
)</f>
        <v>5.859375</v>
      </c>
      <c r="BD11" s="61" cm="1">
        <f t="array" aca="1" ref="BD11" ca="1">IF(
MOD('Well calls each plate'!BD11,1)=0,
INDIRECT("'Plate map key'!"&amp;ADDRESS('Well calls each plate'!BD11+5,ROW()+1)),
AVERAGE(
INDIRECT("'Plate map key'!"&amp;ADDRESS(TRUNC('Well calls each plate'!BD11)+5,ROW()+1)),
INDIRECT("'Plate map key'!"&amp;ADDRESS(TRUNC('Well calls each plate'!BD11)+6,ROW()+1))
)
)</f>
        <v>3.90625</v>
      </c>
      <c r="BE11" s="61" cm="1">
        <f t="array" aca="1" ref="BE11" ca="1">IF(
MOD('Well calls each plate'!BE11,1)=0,
INDIRECT("'Plate map key'!"&amp;ADDRESS('Well calls each plate'!BE11+5,ROW()+1)),
AVERAGE(
INDIRECT("'Plate map key'!"&amp;ADDRESS(TRUNC('Well calls each plate'!BE11)+5,ROW()+1)),
INDIRECT("'Plate map key'!"&amp;ADDRESS(TRUNC('Well calls each plate'!BE11)+6,ROW()+1))
)
)</f>
        <v>2.9296875</v>
      </c>
      <c r="BF11" s="61" cm="1">
        <f t="array" aca="1" ref="BF11" ca="1">IF(
MOD('Well calls each plate'!BF11,1)=0,
INDIRECT("'Plate map key'!"&amp;ADDRESS('Well calls each plate'!BF11+5,ROW()+1)),
AVERAGE(
INDIRECT("'Plate map key'!"&amp;ADDRESS(TRUNC('Well calls each plate'!BF11)+5,ROW()+1)),
INDIRECT("'Plate map key'!"&amp;ADDRESS(TRUNC('Well calls each plate'!BF11)+6,ROW()+1))
)
)</f>
        <v>2.9296875</v>
      </c>
      <c r="BG11" s="61" cm="1">
        <f t="array" aca="1" ref="BG11" ca="1">IF(
MOD('Well calls each plate'!BG11,1)=0,
INDIRECT("'Plate map key'!"&amp;ADDRESS('Well calls each plate'!BG11+5,ROW()+1)),
AVERAGE(
INDIRECT("'Plate map key'!"&amp;ADDRESS(TRUNC('Well calls each plate'!BG11)+5,ROW()+1)),
INDIRECT("'Plate map key'!"&amp;ADDRESS(TRUNC('Well calls each plate'!BG11)+6,ROW()+1))
)
)</f>
        <v>1.46484375</v>
      </c>
      <c r="BH11" s="61" cm="1">
        <f t="array" aca="1" ref="BH11" ca="1">IF(
MOD('Well calls each plate'!BH11,1)=0,
INDIRECT("'Plate map key'!"&amp;ADDRESS('Well calls each plate'!BH11+5,ROW()+1)),
AVERAGE(
INDIRECT("'Plate map key'!"&amp;ADDRESS(TRUNC('Well calls each plate'!BH11)+5,ROW()+1)),
INDIRECT("'Plate map key'!"&amp;ADDRESS(TRUNC('Well calls each plate'!BH11)+6,ROW()+1))
)
)</f>
        <v>1.953125</v>
      </c>
      <c r="BI11" s="61" cm="1">
        <f t="array" aca="1" ref="BI11" ca="1">IF(
MOD('Well calls each plate'!BI11,1)=0,
INDIRECT("'Plate map key'!"&amp;ADDRESS('Well calls each plate'!BI11+5,ROW()+1)),
AVERAGE(
INDIRECT("'Plate map key'!"&amp;ADDRESS(TRUNC('Well calls each plate'!BI11)+5,ROW()+1)),
INDIRECT("'Plate map key'!"&amp;ADDRESS(TRUNC('Well calls each plate'!BI11)+6,ROW()+1))
)
)</f>
        <v>1.953125</v>
      </c>
      <c r="BJ11" s="61" cm="1">
        <f t="array" aca="1" ref="BJ11" ca="1">IF(
MOD('Well calls each plate'!BJ11,1)=0,
INDIRECT("'Plate map key'!"&amp;ADDRESS('Well calls each plate'!BJ11+5,ROW()+1)),
AVERAGE(
INDIRECT("'Plate map key'!"&amp;ADDRESS(TRUNC('Well calls each plate'!BJ11)+5,ROW()+1)),
INDIRECT("'Plate map key'!"&amp;ADDRESS(TRUNC('Well calls each plate'!BJ11)+6,ROW()+1))
)
)</f>
        <v>1.953125</v>
      </c>
      <c r="BK11" s="61" cm="1">
        <f t="array" aca="1" ref="BK11" ca="1">IF(
MOD('Well calls each plate'!BK11,1)=0,
INDIRECT("'Plate map key'!"&amp;ADDRESS('Well calls each plate'!BK11+5,ROW()+1)),
AVERAGE(
INDIRECT("'Plate map key'!"&amp;ADDRESS(TRUNC('Well calls each plate'!BK11)+5,ROW()+1)),
INDIRECT("'Plate map key'!"&amp;ADDRESS(TRUNC('Well calls each plate'!BK11)+6,ROW()+1))
)
)</f>
        <v>0.9765625</v>
      </c>
      <c r="BL11" s="61" cm="1">
        <f t="array" aca="1" ref="BL11" ca="1">IF(
MOD('Well calls each plate'!BL11,1)=0,
INDIRECT("'Plate map key'!"&amp;ADDRESS('Well calls each plate'!BL11+5,ROW()+1)),
AVERAGE(
INDIRECT("'Plate map key'!"&amp;ADDRESS(TRUNC('Well calls each plate'!BL11)+5,ROW()+1)),
INDIRECT("'Plate map key'!"&amp;ADDRESS(TRUNC('Well calls each plate'!BL11)+6,ROW()+1))
)
)</f>
        <v>0.9765625</v>
      </c>
      <c r="BM11" s="61" cm="1">
        <f t="array" aca="1" ref="BM11" ca="1">IF(
MOD('Well calls each plate'!BM11,1)=0,
INDIRECT("'Plate map key'!"&amp;ADDRESS('Well calls each plate'!BM11+5,ROW()+1)),
AVERAGE(
INDIRECT("'Plate map key'!"&amp;ADDRESS(TRUNC('Well calls each plate'!BM11)+5,ROW()+1)),
INDIRECT("'Plate map key'!"&amp;ADDRESS(TRUNC('Well calls each plate'!BM11)+6,ROW()+1))
)
)</f>
        <v>0.9765625</v>
      </c>
    </row>
    <row r="12" spans="2:65" x14ac:dyDescent="0.2">
      <c r="B12" s="51" t="s">
        <v>9</v>
      </c>
      <c r="C12" s="61" cm="1">
        <f t="array" aca="1" ref="C12" ca="1">IF(
MOD('Well calls each plate'!C12,1)=0,
INDIRECT("'Plate map key'!"&amp;ADDRESS('Well calls each plate'!C12+5,ROW()+1)),
AVERAGE(
INDIRECT("'Plate map key'!"&amp;ADDRESS(TRUNC('Well calls each plate'!C12)+5,ROW()+1)),
INDIRECT("'Plate map key'!"&amp;ADDRESS(TRUNC('Well calls each plate'!C12)+6,ROW()+1))
)
)</f>
        <v>0.78125</v>
      </c>
      <c r="D12" s="64" cm="1">
        <f t="array" aca="1" ref="D12" ca="1">IF(
MOD('Well calls each plate'!D12,1)=0,
INDIRECT("'Plate map key'!"&amp;ADDRESS('Well calls each plate'!D12+5,ROW()+1)),
AVERAGE(
INDIRECT("'Plate map key'!"&amp;ADDRESS(TRUNC('Well calls each plate'!D12)+5,ROW()+1)),
INDIRECT("'Plate map key'!"&amp;ADDRESS(TRUNC('Well calls each plate'!D12)+6,ROW()+1))
)
)</f>
        <v>10</v>
      </c>
      <c r="E12" s="61" cm="1">
        <f t="array" aca="1" ref="E12" ca="1">IF(
MOD('Well calls each plate'!E12,1)=0,
INDIRECT("'Plate map key'!"&amp;ADDRESS('Well calls each plate'!E12+5,ROW()+1)),
AVERAGE(
INDIRECT("'Plate map key'!"&amp;ADDRESS(TRUNC('Well calls each plate'!E12)+5,ROW()+1)),
INDIRECT("'Plate map key'!"&amp;ADDRESS(TRUNC('Well calls each plate'!E12)+6,ROW()+1))
)
)</f>
        <v>0.78125</v>
      </c>
      <c r="F12" s="61" cm="1">
        <f t="array" aca="1" ref="F12" ca="1">IF(
MOD('Well calls each plate'!F12,1)=0,
INDIRECT("'Plate map key'!"&amp;ADDRESS('Well calls each plate'!F12+5,ROW()+1)),
AVERAGE(
INDIRECT("'Plate map key'!"&amp;ADDRESS(TRUNC('Well calls each plate'!F12)+5,ROW()+1)),
INDIRECT("'Plate map key'!"&amp;ADDRESS(TRUNC('Well calls each plate'!F12)+6,ROW()+1))
)
)</f>
        <v>0.78125</v>
      </c>
      <c r="G12" s="61" cm="1">
        <f t="array" aca="1" ref="G12" ca="1">IF(
MOD('Well calls each plate'!G12,1)=0,
INDIRECT("'Plate map key'!"&amp;ADDRESS('Well calls each plate'!G12+5,ROW()+1)),
AVERAGE(
INDIRECT("'Plate map key'!"&amp;ADDRESS(TRUNC('Well calls each plate'!G12)+5,ROW()+1)),
INDIRECT("'Plate map key'!"&amp;ADDRESS(TRUNC('Well calls each plate'!G12)+6,ROW()+1))
)
)</f>
        <v>0.78125</v>
      </c>
      <c r="H12" s="61" cm="1">
        <f t="array" aca="1" ref="H12" ca="1">IF(
MOD('Well calls each plate'!H12,1)=0,
INDIRECT("'Plate map key'!"&amp;ADDRESS('Well calls each plate'!H12+5,ROW()+1)),
AVERAGE(
INDIRECT("'Plate map key'!"&amp;ADDRESS(TRUNC('Well calls each plate'!H12)+5,ROW()+1)),
INDIRECT("'Plate map key'!"&amp;ADDRESS(TRUNC('Well calls each plate'!H12)+6,ROW()+1))
)
)</f>
        <v>1.5625</v>
      </c>
      <c r="I12" s="61" cm="1">
        <f t="array" aca="1" ref="I12" ca="1">IF(
MOD('Well calls each plate'!I12,1)=0,
INDIRECT("'Plate map key'!"&amp;ADDRESS('Well calls each plate'!I12+5,ROW()+1)),
AVERAGE(
INDIRECT("'Plate map key'!"&amp;ADDRESS(TRUNC('Well calls each plate'!I12)+5,ROW()+1)),
INDIRECT("'Plate map key'!"&amp;ADDRESS(TRUNC('Well calls each plate'!I12)+6,ROW()+1))
)
)</f>
        <v>0.78125</v>
      </c>
      <c r="J12" s="61" cm="1">
        <f t="array" aca="1" ref="J12" ca="1">IF(
MOD('Well calls each plate'!J12,1)=0,
INDIRECT("'Plate map key'!"&amp;ADDRESS('Well calls each plate'!J12+5,ROW()+1)),
AVERAGE(
INDIRECT("'Plate map key'!"&amp;ADDRESS(TRUNC('Well calls each plate'!J12)+5,ROW()+1)),
INDIRECT("'Plate map key'!"&amp;ADDRESS(TRUNC('Well calls each plate'!J12)+6,ROW()+1))
)
)</f>
        <v>0.78125</v>
      </c>
      <c r="K12" s="61" cm="1">
        <f t="array" aca="1" ref="K12" ca="1">IF(
MOD('Well calls each plate'!K12,1)=0,
INDIRECT("'Plate map key'!"&amp;ADDRESS('Well calls each plate'!K12+5,ROW()+1)),
AVERAGE(
INDIRECT("'Plate map key'!"&amp;ADDRESS(TRUNC('Well calls each plate'!K12)+5,ROW()+1)),
INDIRECT("'Plate map key'!"&amp;ADDRESS(TRUNC('Well calls each plate'!K12)+6,ROW()+1))
)
)</f>
        <v>0.78125</v>
      </c>
      <c r="L12" s="61" cm="1">
        <f t="array" aca="1" ref="L12" ca="1">IF(
MOD('Well calls each plate'!L12,1)=0,
INDIRECT("'Plate map key'!"&amp;ADDRESS('Well calls each plate'!L12+5,ROW()+1)),
AVERAGE(
INDIRECT("'Plate map key'!"&amp;ADDRESS(TRUNC('Well calls each plate'!L12)+5,ROW()+1)),
INDIRECT("'Plate map key'!"&amp;ADDRESS(TRUNC('Well calls each plate'!L12)+6,ROW()+1))
)
)</f>
        <v>0.390625</v>
      </c>
      <c r="M12" s="61" cm="1">
        <f t="array" aca="1" ref="M12" ca="1">IF(
MOD('Well calls each plate'!M12,1)=0,
INDIRECT("'Plate map key'!"&amp;ADDRESS('Well calls each plate'!M12+5,ROW()+1)),
AVERAGE(
INDIRECT("'Plate map key'!"&amp;ADDRESS(TRUNC('Well calls each plate'!M12)+5,ROW()+1)),
INDIRECT("'Plate map key'!"&amp;ADDRESS(TRUNC('Well calls each plate'!M12)+6,ROW()+1))
)
)</f>
        <v>0.390625</v>
      </c>
      <c r="N12" s="61" cm="1">
        <f t="array" aca="1" ref="N12" ca="1">IF(
MOD('Well calls each plate'!N12,1)=0,
INDIRECT("'Plate map key'!"&amp;ADDRESS('Well calls each plate'!N12+5,ROW()+1)),
AVERAGE(
INDIRECT("'Plate map key'!"&amp;ADDRESS(TRUNC('Well calls each plate'!N12)+5,ROW()+1)),
INDIRECT("'Plate map key'!"&amp;ADDRESS(TRUNC('Well calls each plate'!N12)+6,ROW()+1))
)
)</f>
        <v>0.390625</v>
      </c>
      <c r="O12" s="61" cm="1">
        <f t="array" aca="1" ref="O12" ca="1">IF(
MOD('Well calls each plate'!O12,1)=0,
INDIRECT("'Plate map key'!"&amp;ADDRESS('Well calls each plate'!O12+5,ROW()+1)),
AVERAGE(
INDIRECT("'Plate map key'!"&amp;ADDRESS(TRUNC('Well calls each plate'!O12)+5,ROW()+1)),
INDIRECT("'Plate map key'!"&amp;ADDRESS(TRUNC('Well calls each plate'!O12)+6,ROW()+1))
)
)</f>
        <v>0.78125</v>
      </c>
      <c r="P12" s="61" cm="1">
        <f t="array" aca="1" ref="P12" ca="1">IF(
MOD('Well calls each plate'!P12,1)=0,
INDIRECT("'Plate map key'!"&amp;ADDRESS('Well calls each plate'!P12+5,ROW()+1)),
AVERAGE(
INDIRECT("'Plate map key'!"&amp;ADDRESS(TRUNC('Well calls each plate'!P12)+5,ROW()+1)),
INDIRECT("'Plate map key'!"&amp;ADDRESS(TRUNC('Well calls each plate'!P12)+6,ROW()+1))
)
)</f>
        <v>0.78125</v>
      </c>
      <c r="Q12" s="61" cm="1">
        <f t="array" aca="1" ref="Q12" ca="1">IF(
MOD('Well calls each plate'!Q12,1)=0,
INDIRECT("'Plate map key'!"&amp;ADDRESS('Well calls each plate'!Q12+5,ROW()+1)),
AVERAGE(
INDIRECT("'Plate map key'!"&amp;ADDRESS(TRUNC('Well calls each plate'!Q12)+5,ROW()+1)),
INDIRECT("'Plate map key'!"&amp;ADDRESS(TRUNC('Well calls each plate'!Q12)+6,ROW()+1))
)
)</f>
        <v>1.5625</v>
      </c>
      <c r="R12" s="61" cm="1">
        <f t="array" aca="1" ref="R12" ca="1">IF(
MOD('Well calls each plate'!R12,1)=0,
INDIRECT("'Plate map key'!"&amp;ADDRESS('Well calls each plate'!R12+5,ROW()+1)),
AVERAGE(
INDIRECT("'Plate map key'!"&amp;ADDRESS(TRUNC('Well calls each plate'!R12)+5,ROW()+1)),
INDIRECT("'Plate map key'!"&amp;ADDRESS(TRUNC('Well calls each plate'!R12)+6,ROW()+1))
)
)</f>
        <v>1.5625</v>
      </c>
      <c r="S12" s="61" cm="1">
        <f t="array" aca="1" ref="S12" ca="1">IF(
MOD('Well calls each plate'!S12,1)=0,
INDIRECT("'Plate map key'!"&amp;ADDRESS('Well calls each plate'!S12+5,ROW()+1)),
AVERAGE(
INDIRECT("'Plate map key'!"&amp;ADDRESS(TRUNC('Well calls each plate'!S12)+5,ROW()+1)),
INDIRECT("'Plate map key'!"&amp;ADDRESS(TRUNC('Well calls each plate'!S12)+6,ROW()+1))
)
)</f>
        <v>0.78125</v>
      </c>
      <c r="T12" s="61" cm="1">
        <f t="array" aca="1" ref="T12" ca="1">IF(
MOD('Well calls each plate'!T12,1)=0,
INDIRECT("'Plate map key'!"&amp;ADDRESS('Well calls each plate'!T12+5,ROW()+1)),
AVERAGE(
INDIRECT("'Plate map key'!"&amp;ADDRESS(TRUNC('Well calls each plate'!T12)+5,ROW()+1)),
INDIRECT("'Plate map key'!"&amp;ADDRESS(TRUNC('Well calls each plate'!T12)+6,ROW()+1))
)
)</f>
        <v>1.5625</v>
      </c>
      <c r="U12" s="61" cm="1">
        <f t="array" aca="1" ref="U12" ca="1">IF(
MOD('Well calls each plate'!U12,1)=0,
INDIRECT("'Plate map key'!"&amp;ADDRESS('Well calls each plate'!U12+5,ROW()+1)),
AVERAGE(
INDIRECT("'Plate map key'!"&amp;ADDRESS(TRUNC('Well calls each plate'!U12)+5,ROW()+1)),
INDIRECT("'Plate map key'!"&amp;ADDRESS(TRUNC('Well calls each plate'!U12)+6,ROW()+1))
)
)</f>
        <v>0.78125</v>
      </c>
      <c r="V12" s="61" cm="1">
        <f t="array" aca="1" ref="V12" ca="1">IF(
MOD('Well calls each plate'!V12,1)=0,
INDIRECT("'Plate map key'!"&amp;ADDRESS('Well calls each plate'!V12+5,ROW()+1)),
AVERAGE(
INDIRECT("'Plate map key'!"&amp;ADDRESS(TRUNC('Well calls each plate'!V12)+5,ROW()+1)),
INDIRECT("'Plate map key'!"&amp;ADDRESS(TRUNC('Well calls each plate'!V12)+6,ROW()+1))
)
)</f>
        <v>0.78125</v>
      </c>
      <c r="W12" s="61" cm="1">
        <f t="array" aca="1" ref="W12" ca="1">IF(
MOD('Well calls each plate'!W12,1)=0,
INDIRECT("'Plate map key'!"&amp;ADDRESS('Well calls each plate'!W12+5,ROW()+1)),
AVERAGE(
INDIRECT("'Plate map key'!"&amp;ADDRESS(TRUNC('Well calls each plate'!W12)+5,ROW()+1)),
INDIRECT("'Plate map key'!"&amp;ADDRESS(TRUNC('Well calls each plate'!W12)+6,ROW()+1))
)
)</f>
        <v>0.78125</v>
      </c>
      <c r="X12" s="61" cm="1">
        <f t="array" aca="1" ref="X12" ca="1">IF(
MOD('Well calls each plate'!X12,1)=0,
INDIRECT("'Plate map key'!"&amp;ADDRESS('Well calls each plate'!X12+5,ROW()+1)),
AVERAGE(
INDIRECT("'Plate map key'!"&amp;ADDRESS(TRUNC('Well calls each plate'!X12)+5,ROW()+1)),
INDIRECT("'Plate map key'!"&amp;ADDRESS(TRUNC('Well calls each plate'!X12)+6,ROW()+1))
)
)</f>
        <v>0.78125</v>
      </c>
      <c r="Y12" s="61" cm="1">
        <f t="array" aca="1" ref="Y12" ca="1">IF(
MOD('Well calls each plate'!Y12,1)=0,
INDIRECT("'Plate map key'!"&amp;ADDRESS('Well calls each plate'!Y12+5,ROW()+1)),
AVERAGE(
INDIRECT("'Plate map key'!"&amp;ADDRESS(TRUNC('Well calls each plate'!Y12)+5,ROW()+1)),
INDIRECT("'Plate map key'!"&amp;ADDRESS(TRUNC('Well calls each plate'!Y12)+6,ROW()+1))
)
)</f>
        <v>1.5625</v>
      </c>
      <c r="Z12" s="61" cm="1">
        <f t="array" aca="1" ref="Z12" ca="1">IF(
MOD('Well calls each plate'!Z12,1)=0,
INDIRECT("'Plate map key'!"&amp;ADDRESS('Well calls each plate'!Z12+5,ROW()+1)),
AVERAGE(
INDIRECT("'Plate map key'!"&amp;ADDRESS(TRUNC('Well calls each plate'!Z12)+5,ROW()+1)),
INDIRECT("'Plate map key'!"&amp;ADDRESS(TRUNC('Well calls each plate'!Z12)+6,ROW()+1))
)
)</f>
        <v>1.5625</v>
      </c>
      <c r="AA12" s="61" cm="1">
        <f t="array" aca="1" ref="AA12" ca="1">IF(
MOD('Well calls each plate'!AA12,1)=0,
INDIRECT("'Plate map key'!"&amp;ADDRESS('Well calls each plate'!AA12+5,ROW()+1)),
AVERAGE(
INDIRECT("'Plate map key'!"&amp;ADDRESS(TRUNC('Well calls each plate'!AA12)+5,ROW()+1)),
INDIRECT("'Plate map key'!"&amp;ADDRESS(TRUNC('Well calls each plate'!AA12)+6,ROW()+1))
)
)</f>
        <v>1.5625</v>
      </c>
      <c r="AB12" s="61" cm="1">
        <f t="array" aca="1" ref="AB12" ca="1">IF(
MOD('Well calls each plate'!AB12,1)=0,
INDIRECT("'Plate map key'!"&amp;ADDRESS('Well calls each plate'!AB12+5,ROW()+1)),
AVERAGE(
INDIRECT("'Plate map key'!"&amp;ADDRESS(TRUNC('Well calls each plate'!AB12)+5,ROW()+1)),
INDIRECT("'Plate map key'!"&amp;ADDRESS(TRUNC('Well calls each plate'!AB12)+6,ROW()+1))
)
)</f>
        <v>1.5625</v>
      </c>
      <c r="AC12" s="61" cm="1">
        <f t="array" aca="1" ref="AC12" ca="1">IF(
MOD('Well calls each plate'!AC12,1)=0,
INDIRECT("'Plate map key'!"&amp;ADDRESS('Well calls each plate'!AC12+5,ROW()+1)),
AVERAGE(
INDIRECT("'Plate map key'!"&amp;ADDRESS(TRUNC('Well calls each plate'!AC12)+5,ROW()+1)),
INDIRECT("'Plate map key'!"&amp;ADDRESS(TRUNC('Well calls each plate'!AC12)+6,ROW()+1))
)
)</f>
        <v>1.5625</v>
      </c>
      <c r="AD12" s="61" cm="1">
        <f t="array" aca="1" ref="AD12" ca="1">IF(
MOD('Well calls each plate'!AD12,1)=0,
INDIRECT("'Plate map key'!"&amp;ADDRESS('Well calls each plate'!AD12+5,ROW()+1)),
AVERAGE(
INDIRECT("'Plate map key'!"&amp;ADDRESS(TRUNC('Well calls each plate'!AD12)+5,ROW()+1)),
INDIRECT("'Plate map key'!"&amp;ADDRESS(TRUNC('Well calls each plate'!AD12)+6,ROW()+1))
)
)</f>
        <v>0.78125</v>
      </c>
      <c r="AE12" s="61" cm="1">
        <f t="array" aca="1" ref="AE12" ca="1">IF(
MOD('Well calls each plate'!AE12,1)=0,
INDIRECT("'Plate map key'!"&amp;ADDRESS('Well calls each plate'!AE12+5,ROW()+1)),
AVERAGE(
INDIRECT("'Plate map key'!"&amp;ADDRESS(TRUNC('Well calls each plate'!AE12)+5,ROW()+1)),
INDIRECT("'Plate map key'!"&amp;ADDRESS(TRUNC('Well calls each plate'!AE12)+6,ROW()+1))
)
)</f>
        <v>0.78125</v>
      </c>
      <c r="AF12" s="61" cm="1">
        <f t="array" aca="1" ref="AF12" ca="1">IF(
MOD('Well calls each plate'!AF12,1)=0,
INDIRECT("'Plate map key'!"&amp;ADDRESS('Well calls each plate'!AF12+5,ROW()+1)),
AVERAGE(
INDIRECT("'Plate map key'!"&amp;ADDRESS(TRUNC('Well calls each plate'!AF12)+5,ROW()+1)),
INDIRECT("'Plate map key'!"&amp;ADDRESS(TRUNC('Well calls each plate'!AF12)+6,ROW()+1))
)
)</f>
        <v>0.78125</v>
      </c>
      <c r="AG12" s="61" cm="1">
        <f t="array" aca="1" ref="AG12" ca="1">IF(
MOD('Well calls each plate'!AG12,1)=0,
INDIRECT("'Plate map key'!"&amp;ADDRESS('Well calls each plate'!AG12+5,ROW()+1)),
AVERAGE(
INDIRECT("'Plate map key'!"&amp;ADDRESS(TRUNC('Well calls each plate'!AG12)+5,ROW()+1)),
INDIRECT("'Plate map key'!"&amp;ADDRESS(TRUNC('Well calls each plate'!AG12)+6,ROW()+1))
)
)</f>
        <v>1.5625</v>
      </c>
      <c r="AH12" s="61" cm="1">
        <f t="array" aca="1" ref="AH12" ca="1">IF(
MOD('Well calls each plate'!AH12,1)=0,
INDIRECT("'Plate map key'!"&amp;ADDRESS('Well calls each plate'!AH12+5,ROW()+1)),
AVERAGE(
INDIRECT("'Plate map key'!"&amp;ADDRESS(TRUNC('Well calls each plate'!AH12)+5,ROW()+1)),
INDIRECT("'Plate map key'!"&amp;ADDRESS(TRUNC('Well calls each plate'!AH12)+6,ROW()+1))
)
)</f>
        <v>1.5625</v>
      </c>
      <c r="AI12" s="61" cm="1">
        <f t="array" aca="1" ref="AI12" ca="1">IF(
MOD('Well calls each plate'!AI12,1)=0,
INDIRECT("'Plate map key'!"&amp;ADDRESS('Well calls each plate'!AI12+5,ROW()+1)),
AVERAGE(
INDIRECT("'Plate map key'!"&amp;ADDRESS(TRUNC('Well calls each plate'!AI12)+5,ROW()+1)),
INDIRECT("'Plate map key'!"&amp;ADDRESS(TRUNC('Well calls each plate'!AI12)+6,ROW()+1))
)
)</f>
        <v>1.5625</v>
      </c>
      <c r="AJ12" s="61" cm="1">
        <f t="array" aca="1" ref="AJ12" ca="1">IF(
MOD('Well calls each plate'!AJ12,1)=0,
INDIRECT("'Plate map key'!"&amp;ADDRESS('Well calls each plate'!AJ12+5,ROW()+1)),
AVERAGE(
INDIRECT("'Plate map key'!"&amp;ADDRESS(TRUNC('Well calls each plate'!AJ12)+5,ROW()+1)),
INDIRECT("'Plate map key'!"&amp;ADDRESS(TRUNC('Well calls each plate'!AJ12)+6,ROW()+1))
)
)</f>
        <v>0.78125</v>
      </c>
      <c r="AK12" s="61" cm="1">
        <f t="array" aca="1" ref="AK12" ca="1">IF(
MOD('Well calls each plate'!AK12,1)=0,
INDIRECT("'Plate map key'!"&amp;ADDRESS('Well calls each plate'!AK12+5,ROW()+1)),
AVERAGE(
INDIRECT("'Plate map key'!"&amp;ADDRESS(TRUNC('Well calls each plate'!AK12)+5,ROW()+1)),
INDIRECT("'Plate map key'!"&amp;ADDRESS(TRUNC('Well calls each plate'!AK12)+6,ROW()+1))
)
)</f>
        <v>0.78125</v>
      </c>
      <c r="AL12" s="61" cm="1">
        <f t="array" aca="1" ref="AL12" ca="1">IF(
MOD('Well calls each plate'!AL12,1)=0,
INDIRECT("'Plate map key'!"&amp;ADDRESS('Well calls each plate'!AL12+5,ROW()+1)),
AVERAGE(
INDIRECT("'Plate map key'!"&amp;ADDRESS(TRUNC('Well calls each plate'!AL12)+5,ROW()+1)),
INDIRECT("'Plate map key'!"&amp;ADDRESS(TRUNC('Well calls each plate'!AL12)+6,ROW()+1))
)
)</f>
        <v>0.78125</v>
      </c>
      <c r="AM12" s="61" cm="1">
        <f t="array" aca="1" ref="AM12" ca="1">IF(
MOD('Well calls each plate'!AM12,1)=0,
INDIRECT("'Plate map key'!"&amp;ADDRESS('Well calls each plate'!AM12+5,ROW()+1)),
AVERAGE(
INDIRECT("'Plate map key'!"&amp;ADDRESS(TRUNC('Well calls each plate'!AM12)+5,ROW()+1)),
INDIRECT("'Plate map key'!"&amp;ADDRESS(TRUNC('Well calls each plate'!AM12)+6,ROW()+1))
)
)</f>
        <v>0.78125</v>
      </c>
      <c r="AN12" s="61" cm="1">
        <f t="array" aca="1" ref="AN12" ca="1">IF(
MOD('Well calls each plate'!AN12,1)=0,
INDIRECT("'Plate map key'!"&amp;ADDRESS('Well calls each plate'!AN12+5,ROW()+1)),
AVERAGE(
INDIRECT("'Plate map key'!"&amp;ADDRESS(TRUNC('Well calls each plate'!AN12)+5,ROW()+1)),
INDIRECT("'Plate map key'!"&amp;ADDRESS(TRUNC('Well calls each plate'!AN12)+6,ROW()+1))
)
)</f>
        <v>0.78125</v>
      </c>
      <c r="AO12" s="61" cm="1">
        <f t="array" aca="1" ref="AO12" ca="1">IF(
MOD('Well calls each plate'!AO12,1)=0,
INDIRECT("'Plate map key'!"&amp;ADDRESS('Well calls each plate'!AO12+5,ROW()+1)),
AVERAGE(
INDIRECT("'Plate map key'!"&amp;ADDRESS(TRUNC('Well calls each plate'!AO12)+5,ROW()+1)),
INDIRECT("'Plate map key'!"&amp;ADDRESS(TRUNC('Well calls each plate'!AO12)+6,ROW()+1))
)
)</f>
        <v>1.5625</v>
      </c>
      <c r="AP12" s="61" cm="1">
        <f t="array" aca="1" ref="AP12" ca="1">IF(
MOD('Well calls each plate'!AP12,1)=0,
INDIRECT("'Plate map key'!"&amp;ADDRESS('Well calls each plate'!AP12+5,ROW()+1)),
AVERAGE(
INDIRECT("'Plate map key'!"&amp;ADDRESS(TRUNC('Well calls each plate'!AP12)+5,ROW()+1)),
INDIRECT("'Plate map key'!"&amp;ADDRESS(TRUNC('Well calls each plate'!AP12)+6,ROW()+1))
)
)</f>
        <v>1.5625</v>
      </c>
      <c r="AQ12" s="61" cm="1">
        <f t="array" aca="1" ref="AQ12" ca="1">IF(
MOD('Well calls each plate'!AQ12,1)=0,
INDIRECT("'Plate map key'!"&amp;ADDRESS('Well calls each plate'!AQ12+5,ROW()+1)),
AVERAGE(
INDIRECT("'Plate map key'!"&amp;ADDRESS(TRUNC('Well calls each plate'!AQ12)+5,ROW()+1)),
INDIRECT("'Plate map key'!"&amp;ADDRESS(TRUNC('Well calls each plate'!AQ12)+6,ROW()+1))
)
)</f>
        <v>0.78125</v>
      </c>
      <c r="AR12" s="61" cm="1">
        <f t="array" aca="1" ref="AR12" ca="1">IF(
MOD('Well calls each plate'!AR12,1)=0,
INDIRECT("'Plate map key'!"&amp;ADDRESS('Well calls each plate'!AR12+5,ROW()+1)),
AVERAGE(
INDIRECT("'Plate map key'!"&amp;ADDRESS(TRUNC('Well calls each plate'!AR12)+5,ROW()+1)),
INDIRECT("'Plate map key'!"&amp;ADDRESS(TRUNC('Well calls each plate'!AR12)+6,ROW()+1))
)
)</f>
        <v>1.5625</v>
      </c>
      <c r="AS12" s="61" cm="1">
        <f t="array" aca="1" ref="AS12" ca="1">IF(
MOD('Well calls each plate'!AS12,1)=0,
INDIRECT("'Plate map key'!"&amp;ADDRESS('Well calls each plate'!AS12+5,ROW()+1)),
AVERAGE(
INDIRECT("'Plate map key'!"&amp;ADDRESS(TRUNC('Well calls each plate'!AS12)+5,ROW()+1)),
INDIRECT("'Plate map key'!"&amp;ADDRESS(TRUNC('Well calls each plate'!AS12)+6,ROW()+1))
)
)</f>
        <v>0.78125</v>
      </c>
      <c r="AT12" s="61" cm="1">
        <f t="array" aca="1" ref="AT12" ca="1">IF(
MOD('Well calls each plate'!AT12,1)=0,
INDIRECT("'Plate map key'!"&amp;ADDRESS('Well calls each plate'!AT12+5,ROW()+1)),
AVERAGE(
INDIRECT("'Plate map key'!"&amp;ADDRESS(TRUNC('Well calls each plate'!AT12)+5,ROW()+1)),
INDIRECT("'Plate map key'!"&amp;ADDRESS(TRUNC('Well calls each plate'!AT12)+6,ROW()+1))
)
)</f>
        <v>0.78125</v>
      </c>
      <c r="AU12" s="61" cm="1">
        <f t="array" aca="1" ref="AU12" ca="1">IF(
MOD('Well calls each plate'!AU12,1)=0,
INDIRECT("'Plate map key'!"&amp;ADDRESS('Well calls each plate'!AU12+5,ROW()+1)),
AVERAGE(
INDIRECT("'Plate map key'!"&amp;ADDRESS(TRUNC('Well calls each plate'!AU12)+5,ROW()+1)),
INDIRECT("'Plate map key'!"&amp;ADDRESS(TRUNC('Well calls each plate'!AU12)+6,ROW()+1))
)
)</f>
        <v>1.5625</v>
      </c>
      <c r="AV12" s="61" cm="1">
        <f t="array" aca="1" ref="AV12" ca="1">IF(
MOD('Well calls each plate'!AV12,1)=0,
INDIRECT("'Plate map key'!"&amp;ADDRESS('Well calls each plate'!AV12+5,ROW()+1)),
AVERAGE(
INDIRECT("'Plate map key'!"&amp;ADDRESS(TRUNC('Well calls each plate'!AV12)+5,ROW()+1)),
INDIRECT("'Plate map key'!"&amp;ADDRESS(TRUNC('Well calls each plate'!AV12)+6,ROW()+1))
)
)</f>
        <v>1.5625</v>
      </c>
      <c r="AW12" s="61" cm="1">
        <f t="array" aca="1" ref="AW12" ca="1">IF(
MOD('Well calls each plate'!AW12,1)=0,
INDIRECT("'Plate map key'!"&amp;ADDRESS('Well calls each plate'!AW12+5,ROW()+1)),
AVERAGE(
INDIRECT("'Plate map key'!"&amp;ADDRESS(TRUNC('Well calls each plate'!AW12)+5,ROW()+1)),
INDIRECT("'Plate map key'!"&amp;ADDRESS(TRUNC('Well calls each plate'!AW12)+6,ROW()+1))
)
)</f>
        <v>1.5625</v>
      </c>
      <c r="AX12" s="61" cm="1">
        <f t="array" aca="1" ref="AX12" ca="1">IF(
MOD('Well calls each plate'!AX12,1)=0,
INDIRECT("'Plate map key'!"&amp;ADDRESS('Well calls each plate'!AX12+5,ROW()+1)),
AVERAGE(
INDIRECT("'Plate map key'!"&amp;ADDRESS(TRUNC('Well calls each plate'!AX12)+5,ROW()+1)),
INDIRECT("'Plate map key'!"&amp;ADDRESS(TRUNC('Well calls each plate'!AX12)+6,ROW()+1))
)
)</f>
        <v>1.5625</v>
      </c>
      <c r="AY12" s="61" cm="1">
        <f t="array" aca="1" ref="AY12" ca="1">IF(
MOD('Well calls each plate'!AY12,1)=0,
INDIRECT("'Plate map key'!"&amp;ADDRESS('Well calls each plate'!AY12+5,ROW()+1)),
AVERAGE(
INDIRECT("'Plate map key'!"&amp;ADDRESS(TRUNC('Well calls each plate'!AY12)+5,ROW()+1)),
INDIRECT("'Plate map key'!"&amp;ADDRESS(TRUNC('Well calls each plate'!AY12)+6,ROW()+1))
)
)</f>
        <v>0.78125</v>
      </c>
      <c r="AZ12" s="61" cm="1">
        <f t="array" aca="1" ref="AZ12" ca="1">IF(
MOD('Well calls each plate'!AZ12,1)=0,
INDIRECT("'Plate map key'!"&amp;ADDRESS('Well calls each plate'!AZ12+5,ROW()+1)),
AVERAGE(
INDIRECT("'Plate map key'!"&amp;ADDRESS(TRUNC('Well calls each plate'!AZ12)+5,ROW()+1)),
INDIRECT("'Plate map key'!"&amp;ADDRESS(TRUNC('Well calls each plate'!AZ12)+6,ROW()+1))
)
)</f>
        <v>0.78125</v>
      </c>
      <c r="BA12" s="61" cm="1">
        <f t="array" aca="1" ref="BA12" ca="1">IF(
MOD('Well calls each plate'!BA12,1)=0,
INDIRECT("'Plate map key'!"&amp;ADDRESS('Well calls each plate'!BA12+5,ROW()+1)),
AVERAGE(
INDIRECT("'Plate map key'!"&amp;ADDRESS(TRUNC('Well calls each plate'!BA12)+5,ROW()+1)),
INDIRECT("'Plate map key'!"&amp;ADDRESS(TRUNC('Well calls each plate'!BA12)+6,ROW()+1))
)
)</f>
        <v>1.5625</v>
      </c>
      <c r="BB12" s="61" cm="1">
        <f t="array" aca="1" ref="BB12" ca="1">IF(
MOD('Well calls each plate'!BB12,1)=0,
INDIRECT("'Plate map key'!"&amp;ADDRESS('Well calls each plate'!BB12+5,ROW()+1)),
AVERAGE(
INDIRECT("'Plate map key'!"&amp;ADDRESS(TRUNC('Well calls each plate'!BB12)+5,ROW()+1)),
INDIRECT("'Plate map key'!"&amp;ADDRESS(TRUNC('Well calls each plate'!BB12)+6,ROW()+1))
)
)</f>
        <v>0.78125</v>
      </c>
      <c r="BC12" s="61" cm="1">
        <f t="array" aca="1" ref="BC12" ca="1">IF(
MOD('Well calls each plate'!BC12,1)=0,
INDIRECT("'Plate map key'!"&amp;ADDRESS('Well calls each plate'!BC12+5,ROW()+1)),
AVERAGE(
INDIRECT("'Plate map key'!"&amp;ADDRESS(TRUNC('Well calls each plate'!BC12)+5,ROW()+1)),
INDIRECT("'Plate map key'!"&amp;ADDRESS(TRUNC('Well calls each plate'!BC12)+6,ROW()+1))
)
)</f>
        <v>0.78125</v>
      </c>
      <c r="BD12" s="61" cm="1">
        <f t="array" aca="1" ref="BD12" ca="1">IF(
MOD('Well calls each plate'!BD12,1)=0,
INDIRECT("'Plate map key'!"&amp;ADDRESS('Well calls each plate'!BD12+5,ROW()+1)),
AVERAGE(
INDIRECT("'Plate map key'!"&amp;ADDRESS(TRUNC('Well calls each plate'!BD12)+5,ROW()+1)),
INDIRECT("'Plate map key'!"&amp;ADDRESS(TRUNC('Well calls each plate'!BD12)+6,ROW()+1))
)
)</f>
        <v>0.78125</v>
      </c>
      <c r="BE12" s="61" cm="1">
        <f t="array" aca="1" ref="BE12" ca="1">IF(
MOD('Well calls each plate'!BE12,1)=0,
INDIRECT("'Plate map key'!"&amp;ADDRESS('Well calls each plate'!BE12+5,ROW()+1)),
AVERAGE(
INDIRECT("'Plate map key'!"&amp;ADDRESS(TRUNC('Well calls each plate'!BE12)+5,ROW()+1)),
INDIRECT("'Plate map key'!"&amp;ADDRESS(TRUNC('Well calls each plate'!BE12)+6,ROW()+1))
)
)</f>
        <v>0.78125</v>
      </c>
      <c r="BF12" s="61" cm="1">
        <f t="array" aca="1" ref="BF12" ca="1">IF(
MOD('Well calls each plate'!BF12,1)=0,
INDIRECT("'Plate map key'!"&amp;ADDRESS('Well calls each plate'!BF12+5,ROW()+1)),
AVERAGE(
INDIRECT("'Plate map key'!"&amp;ADDRESS(TRUNC('Well calls each plate'!BF12)+5,ROW()+1)),
INDIRECT("'Plate map key'!"&amp;ADDRESS(TRUNC('Well calls each plate'!BF12)+6,ROW()+1))
)
)</f>
        <v>0.78125</v>
      </c>
      <c r="BG12" s="61" cm="1">
        <f t="array" aca="1" ref="BG12" ca="1">IF(
MOD('Well calls each plate'!BG12,1)=0,
INDIRECT("'Plate map key'!"&amp;ADDRESS('Well calls each plate'!BG12+5,ROW()+1)),
AVERAGE(
INDIRECT("'Plate map key'!"&amp;ADDRESS(TRUNC('Well calls each plate'!BG12)+5,ROW()+1)),
INDIRECT("'Plate map key'!"&amp;ADDRESS(TRUNC('Well calls each plate'!BG12)+6,ROW()+1))
)
)</f>
        <v>1.171875</v>
      </c>
      <c r="BH12" s="61" cm="1">
        <f t="array" aca="1" ref="BH12" ca="1">IF(
MOD('Well calls each plate'!BH12,1)=0,
INDIRECT("'Plate map key'!"&amp;ADDRESS('Well calls each plate'!BH12+5,ROW()+1)),
AVERAGE(
INDIRECT("'Plate map key'!"&amp;ADDRESS(TRUNC('Well calls each plate'!BH12)+5,ROW()+1)),
INDIRECT("'Plate map key'!"&amp;ADDRESS(TRUNC('Well calls each plate'!BH12)+6,ROW()+1))
)
)</f>
        <v>0.78125</v>
      </c>
      <c r="BI12" s="61" cm="1">
        <f t="array" aca="1" ref="BI12" ca="1">IF(
MOD('Well calls each plate'!BI12,1)=0,
INDIRECT("'Plate map key'!"&amp;ADDRESS('Well calls each plate'!BI12+5,ROW()+1)),
AVERAGE(
INDIRECT("'Plate map key'!"&amp;ADDRESS(TRUNC('Well calls each plate'!BI12)+5,ROW()+1)),
INDIRECT("'Plate map key'!"&amp;ADDRESS(TRUNC('Well calls each plate'!BI12)+6,ROW()+1))
)
)</f>
        <v>0.78125</v>
      </c>
      <c r="BJ12" s="61" cm="1">
        <f t="array" aca="1" ref="BJ12" ca="1">IF(
MOD('Well calls each plate'!BJ12,1)=0,
INDIRECT("'Plate map key'!"&amp;ADDRESS('Well calls each plate'!BJ12+5,ROW()+1)),
AVERAGE(
INDIRECT("'Plate map key'!"&amp;ADDRESS(TRUNC('Well calls each plate'!BJ12)+5,ROW()+1)),
INDIRECT("'Plate map key'!"&amp;ADDRESS(TRUNC('Well calls each plate'!BJ12)+6,ROW()+1))
)
)</f>
        <v>0.78125</v>
      </c>
      <c r="BK12" s="61" cm="1">
        <f t="array" aca="1" ref="BK12" ca="1">IF(
MOD('Well calls each plate'!BK12,1)=0,
INDIRECT("'Plate map key'!"&amp;ADDRESS('Well calls each plate'!BK12+5,ROW()+1)),
AVERAGE(
INDIRECT("'Plate map key'!"&amp;ADDRESS(TRUNC('Well calls each plate'!BK12)+5,ROW()+1)),
INDIRECT("'Plate map key'!"&amp;ADDRESS(TRUNC('Well calls each plate'!BK12)+6,ROW()+1))
)
)</f>
        <v>1.5625</v>
      </c>
      <c r="BL12" s="61" cm="1">
        <f t="array" aca="1" ref="BL12" ca="1">IF(
MOD('Well calls each plate'!BL12,1)=0,
INDIRECT("'Plate map key'!"&amp;ADDRESS('Well calls each plate'!BL12+5,ROW()+1)),
AVERAGE(
INDIRECT("'Plate map key'!"&amp;ADDRESS(TRUNC('Well calls each plate'!BL12)+5,ROW()+1)),
INDIRECT("'Plate map key'!"&amp;ADDRESS(TRUNC('Well calls each plate'!BL12)+6,ROW()+1))
)
)</f>
        <v>1.5625</v>
      </c>
      <c r="BM12" s="61" cm="1">
        <f t="array" aca="1" ref="BM12" ca="1">IF(
MOD('Well calls each plate'!BM12,1)=0,
INDIRECT("'Plate map key'!"&amp;ADDRESS('Well calls each plate'!BM12+5,ROW()+1)),
AVERAGE(
INDIRECT("'Plate map key'!"&amp;ADDRESS(TRUNC('Well calls each plate'!BM12)+5,ROW()+1)),
INDIRECT("'Plate map key'!"&amp;ADDRESS(TRUNC('Well calls each plate'!BM12)+6,ROW()+1))
)
)</f>
        <v>1.5625</v>
      </c>
    </row>
    <row r="13" spans="2:65" x14ac:dyDescent="0.2">
      <c r="B13" s="52" t="s">
        <v>10</v>
      </c>
      <c r="C13" s="61" cm="1">
        <f t="array" aca="1" ref="C13" ca="1">IF(
MOD('Well calls each plate'!C13,1)=0,
INDIRECT("'Plate map key'!"&amp;ADDRESS('Well calls each plate'!C13+5,ROW()+1)),
AVERAGE(
INDIRECT("'Plate map key'!"&amp;ADDRESS(TRUNC('Well calls each plate'!C13)+5,ROW()+1)),
INDIRECT("'Plate map key'!"&amp;ADDRESS(TRUNC('Well calls each plate'!C13)+6,ROW()+1))
)
)</f>
        <v>11.71875</v>
      </c>
      <c r="D13" s="61" cm="1">
        <f t="array" aca="1" ref="D13" ca="1">IF(
MOD('Well calls each plate'!D13,1)=0,
INDIRECT("'Plate map key'!"&amp;ADDRESS('Well calls each plate'!D13+5,ROW()+1)),
AVERAGE(
INDIRECT("'Plate map key'!"&amp;ADDRESS(TRUNC('Well calls each plate'!D13)+5,ROW()+1)),
INDIRECT("'Plate map key'!"&amp;ADDRESS(TRUNC('Well calls each plate'!D13)+6,ROW()+1))
)
)</f>
        <v>11.71875</v>
      </c>
      <c r="E13" s="61" cm="1">
        <f t="array" aca="1" ref="E13" ca="1">IF(
MOD('Well calls each plate'!E13,1)=0,
INDIRECT("'Plate map key'!"&amp;ADDRESS('Well calls each plate'!E13+5,ROW()+1)),
AVERAGE(
INDIRECT("'Plate map key'!"&amp;ADDRESS(TRUNC('Well calls each plate'!E13)+5,ROW()+1)),
INDIRECT("'Plate map key'!"&amp;ADDRESS(TRUNC('Well calls each plate'!E13)+6,ROW()+1))
)
)</f>
        <v>11.71875</v>
      </c>
      <c r="F13" s="61" cm="1">
        <f t="array" aca="1" ref="F13" ca="1">IF(
MOD('Well calls each plate'!F13,1)=0,
INDIRECT("'Plate map key'!"&amp;ADDRESS('Well calls each plate'!F13+5,ROW()+1)),
AVERAGE(
INDIRECT("'Plate map key'!"&amp;ADDRESS(TRUNC('Well calls each plate'!F13)+5,ROW()+1)),
INDIRECT("'Plate map key'!"&amp;ADDRESS(TRUNC('Well calls each plate'!F13)+6,ROW()+1))
)
)</f>
        <v>15.625</v>
      </c>
      <c r="G13" s="61" cm="1">
        <f t="array" aca="1" ref="G13" ca="1">IF(
MOD('Well calls each plate'!G13,1)=0,
INDIRECT("'Plate map key'!"&amp;ADDRESS('Well calls each plate'!G13+5,ROW()+1)),
AVERAGE(
INDIRECT("'Plate map key'!"&amp;ADDRESS(TRUNC('Well calls each plate'!G13)+5,ROW()+1)),
INDIRECT("'Plate map key'!"&amp;ADDRESS(TRUNC('Well calls each plate'!G13)+6,ROW()+1))
)
)</f>
        <v>15.625</v>
      </c>
      <c r="H13" s="61" cm="1">
        <f t="array" aca="1" ref="H13" ca="1">IF(
MOD('Well calls each plate'!H13,1)=0,
INDIRECT("'Plate map key'!"&amp;ADDRESS('Well calls each plate'!H13+5,ROW()+1)),
AVERAGE(
INDIRECT("'Plate map key'!"&amp;ADDRESS(TRUNC('Well calls each plate'!H13)+5,ROW()+1)),
INDIRECT("'Plate map key'!"&amp;ADDRESS(TRUNC('Well calls each plate'!H13)+6,ROW()+1))
)
)</f>
        <v>15.625</v>
      </c>
      <c r="I13" s="61" cm="1">
        <f t="array" aca="1" ref="I13" ca="1">IF(
MOD('Well calls each plate'!I13,1)=0,
INDIRECT("'Plate map key'!"&amp;ADDRESS('Well calls each plate'!I13+5,ROW()+1)),
AVERAGE(
INDIRECT("'Plate map key'!"&amp;ADDRESS(TRUNC('Well calls each plate'!I13)+5,ROW()+1)),
INDIRECT("'Plate map key'!"&amp;ADDRESS(TRUNC('Well calls each plate'!I13)+6,ROW()+1))
)
)</f>
        <v>31.25</v>
      </c>
      <c r="J13" s="61" cm="1">
        <f t="array" aca="1" ref="J13" ca="1">IF(
MOD('Well calls each plate'!J13,1)=0,
INDIRECT("'Plate map key'!"&amp;ADDRESS('Well calls each plate'!J13+5,ROW()+1)),
AVERAGE(
INDIRECT("'Plate map key'!"&amp;ADDRESS(TRUNC('Well calls each plate'!J13)+5,ROW()+1)),
INDIRECT("'Plate map key'!"&amp;ADDRESS(TRUNC('Well calls each plate'!J13)+6,ROW()+1))
)
)</f>
        <v>31.25</v>
      </c>
      <c r="K13" s="61" cm="1">
        <f t="array" aca="1" ref="K13" ca="1">IF(
MOD('Well calls each plate'!K13,1)=0,
INDIRECT("'Plate map key'!"&amp;ADDRESS('Well calls each plate'!K13+5,ROW()+1)),
AVERAGE(
INDIRECT("'Plate map key'!"&amp;ADDRESS(TRUNC('Well calls each plate'!K13)+5,ROW()+1)),
INDIRECT("'Plate map key'!"&amp;ADDRESS(TRUNC('Well calls each plate'!K13)+6,ROW()+1))
)
)</f>
        <v>31.25</v>
      </c>
      <c r="L13" s="61" cm="1">
        <f t="array" aca="1" ref="L13" ca="1">IF(
MOD('Well calls each plate'!L13,1)=0,
INDIRECT("'Plate map key'!"&amp;ADDRESS('Well calls each plate'!L13+5,ROW()+1)),
AVERAGE(
INDIRECT("'Plate map key'!"&amp;ADDRESS(TRUNC('Well calls each plate'!L13)+5,ROW()+1)),
INDIRECT("'Plate map key'!"&amp;ADDRESS(TRUNC('Well calls each plate'!L13)+6,ROW()+1))
)
)</f>
        <v>11.71875</v>
      </c>
      <c r="M13" s="61" cm="1">
        <f t="array" aca="1" ref="M13" ca="1">IF(
MOD('Well calls each plate'!M13,1)=0,
INDIRECT("'Plate map key'!"&amp;ADDRESS('Well calls each plate'!M13+5,ROW()+1)),
AVERAGE(
INDIRECT("'Plate map key'!"&amp;ADDRESS(TRUNC('Well calls each plate'!M13)+5,ROW()+1)),
INDIRECT("'Plate map key'!"&amp;ADDRESS(TRUNC('Well calls each plate'!M13)+6,ROW()+1))
)
)</f>
        <v>11.71875</v>
      </c>
      <c r="N13" s="61" cm="1">
        <f t="array" aca="1" ref="N13" ca="1">IF(
MOD('Well calls each plate'!N13,1)=0,
INDIRECT("'Plate map key'!"&amp;ADDRESS('Well calls each plate'!N13+5,ROW()+1)),
AVERAGE(
INDIRECT("'Plate map key'!"&amp;ADDRESS(TRUNC('Well calls each plate'!N13)+5,ROW()+1)),
INDIRECT("'Plate map key'!"&amp;ADDRESS(TRUNC('Well calls each plate'!N13)+6,ROW()+1))
)
)</f>
        <v>11.71875</v>
      </c>
      <c r="O13" s="61" cm="1">
        <f t="array" aca="1" ref="O13" ca="1">IF(
MOD('Well calls each plate'!O13,1)=0,
INDIRECT("'Plate map key'!"&amp;ADDRESS('Well calls each plate'!O13+5,ROW()+1)),
AVERAGE(
INDIRECT("'Plate map key'!"&amp;ADDRESS(TRUNC('Well calls each plate'!O13)+5,ROW()+1)),
INDIRECT("'Plate map key'!"&amp;ADDRESS(TRUNC('Well calls each plate'!O13)+6,ROW()+1))
)
)</f>
        <v>31.25</v>
      </c>
      <c r="P13" s="61" cm="1">
        <f t="array" aca="1" ref="P13" ca="1">IF(
MOD('Well calls each plate'!P13,1)=0,
INDIRECT("'Plate map key'!"&amp;ADDRESS('Well calls each plate'!P13+5,ROW()+1)),
AVERAGE(
INDIRECT("'Plate map key'!"&amp;ADDRESS(TRUNC('Well calls each plate'!P13)+5,ROW()+1)),
INDIRECT("'Plate map key'!"&amp;ADDRESS(TRUNC('Well calls each plate'!P13)+6,ROW()+1))
)
)</f>
        <v>31.25</v>
      </c>
      <c r="Q13" s="61" cm="1">
        <f t="array" aca="1" ref="Q13" ca="1">IF(
MOD('Well calls each plate'!Q13,1)=0,
INDIRECT("'Plate map key'!"&amp;ADDRESS('Well calls each plate'!Q13+5,ROW()+1)),
AVERAGE(
INDIRECT("'Plate map key'!"&amp;ADDRESS(TRUNC('Well calls each plate'!Q13)+5,ROW()+1)),
INDIRECT("'Plate map key'!"&amp;ADDRESS(TRUNC('Well calls each plate'!Q13)+6,ROW()+1))
)
)</f>
        <v>31.25</v>
      </c>
      <c r="R13" s="61" cm="1">
        <f t="array" aca="1" ref="R13" ca="1">IF(
MOD('Well calls each plate'!R13,1)=0,
INDIRECT("'Plate map key'!"&amp;ADDRESS('Well calls each plate'!R13+5,ROW()+1)),
AVERAGE(
INDIRECT("'Plate map key'!"&amp;ADDRESS(TRUNC('Well calls each plate'!R13)+5,ROW()+1)),
INDIRECT("'Plate map key'!"&amp;ADDRESS(TRUNC('Well calls each plate'!R13)+6,ROW()+1))
)
)</f>
        <v>15.625</v>
      </c>
      <c r="S13" s="61" cm="1">
        <f t="array" aca="1" ref="S13" ca="1">IF(
MOD('Well calls each plate'!S13,1)=0,
INDIRECT("'Plate map key'!"&amp;ADDRESS('Well calls each plate'!S13+5,ROW()+1)),
AVERAGE(
INDIRECT("'Plate map key'!"&amp;ADDRESS(TRUNC('Well calls each plate'!S13)+5,ROW()+1)),
INDIRECT("'Plate map key'!"&amp;ADDRESS(TRUNC('Well calls each plate'!S13)+6,ROW()+1))
)
)</f>
        <v>15.625</v>
      </c>
      <c r="T13" s="61" cm="1">
        <f t="array" aca="1" ref="T13" ca="1">IF(
MOD('Well calls each plate'!T13,1)=0,
INDIRECT("'Plate map key'!"&amp;ADDRESS('Well calls each plate'!T13+5,ROW()+1)),
AVERAGE(
INDIRECT("'Plate map key'!"&amp;ADDRESS(TRUNC('Well calls each plate'!T13)+5,ROW()+1)),
INDIRECT("'Plate map key'!"&amp;ADDRESS(TRUNC('Well calls each plate'!T13)+6,ROW()+1))
)
)</f>
        <v>15.625</v>
      </c>
      <c r="U13" s="61" cm="1">
        <f t="array" aca="1" ref="U13" ca="1">IF(
MOD('Well calls each plate'!U13,1)=0,
INDIRECT("'Plate map key'!"&amp;ADDRESS('Well calls each plate'!U13+5,ROW()+1)),
AVERAGE(
INDIRECT("'Plate map key'!"&amp;ADDRESS(TRUNC('Well calls each plate'!U13)+5,ROW()+1)),
INDIRECT("'Plate map key'!"&amp;ADDRESS(TRUNC('Well calls each plate'!U13)+6,ROW()+1))
)
)</f>
        <v>15.625</v>
      </c>
      <c r="V13" s="61" cm="1">
        <f t="array" aca="1" ref="V13" ca="1">IF(
MOD('Well calls each plate'!V13,1)=0,
INDIRECT("'Plate map key'!"&amp;ADDRESS('Well calls each plate'!V13+5,ROW()+1)),
AVERAGE(
INDIRECT("'Plate map key'!"&amp;ADDRESS(TRUNC('Well calls each plate'!V13)+5,ROW()+1)),
INDIRECT("'Plate map key'!"&amp;ADDRESS(TRUNC('Well calls each plate'!V13)+6,ROW()+1))
)
)</f>
        <v>15.625</v>
      </c>
      <c r="W13" s="61" cm="1">
        <f t="array" aca="1" ref="W13" ca="1">IF(
MOD('Well calls each plate'!W13,1)=0,
INDIRECT("'Plate map key'!"&amp;ADDRESS('Well calls each plate'!W13+5,ROW()+1)),
AVERAGE(
INDIRECT("'Plate map key'!"&amp;ADDRESS(TRUNC('Well calls each plate'!W13)+5,ROW()+1)),
INDIRECT("'Plate map key'!"&amp;ADDRESS(TRUNC('Well calls each plate'!W13)+6,ROW()+1))
)
)</f>
        <v>15.625</v>
      </c>
      <c r="X13" s="61" cm="1">
        <f t="array" aca="1" ref="X13" ca="1">IF(
MOD('Well calls each plate'!X13,1)=0,
INDIRECT("'Plate map key'!"&amp;ADDRESS('Well calls each plate'!X13+5,ROW()+1)),
AVERAGE(
INDIRECT("'Plate map key'!"&amp;ADDRESS(TRUNC('Well calls each plate'!X13)+5,ROW()+1)),
INDIRECT("'Plate map key'!"&amp;ADDRESS(TRUNC('Well calls each plate'!X13)+6,ROW()+1))
)
)</f>
        <v>23.4375</v>
      </c>
      <c r="Y13" s="61" cm="1">
        <f t="array" aca="1" ref="Y13" ca="1">IF(
MOD('Well calls each plate'!Y13,1)=0,
INDIRECT("'Plate map key'!"&amp;ADDRESS('Well calls each plate'!Y13+5,ROW()+1)),
AVERAGE(
INDIRECT("'Plate map key'!"&amp;ADDRESS(TRUNC('Well calls each plate'!Y13)+5,ROW()+1)),
INDIRECT("'Plate map key'!"&amp;ADDRESS(TRUNC('Well calls each plate'!Y13)+6,ROW()+1))
)
)</f>
        <v>15.625</v>
      </c>
      <c r="Z13" s="61" cm="1">
        <f t="array" aca="1" ref="Z13" ca="1">IF(
MOD('Well calls each plate'!Z13,1)=0,
INDIRECT("'Plate map key'!"&amp;ADDRESS('Well calls each plate'!Z13+5,ROW()+1)),
AVERAGE(
INDIRECT("'Plate map key'!"&amp;ADDRESS(TRUNC('Well calls each plate'!Z13)+5,ROW()+1)),
INDIRECT("'Plate map key'!"&amp;ADDRESS(TRUNC('Well calls each plate'!Z13)+6,ROW()+1))
)
)</f>
        <v>15.625</v>
      </c>
      <c r="AA13" s="61" cm="1">
        <f t="array" aca="1" ref="AA13" ca="1">IF(
MOD('Well calls each plate'!AA13,1)=0,
INDIRECT("'Plate map key'!"&amp;ADDRESS('Well calls each plate'!AA13+5,ROW()+1)),
AVERAGE(
INDIRECT("'Plate map key'!"&amp;ADDRESS(TRUNC('Well calls each plate'!AA13)+5,ROW()+1)),
INDIRECT("'Plate map key'!"&amp;ADDRESS(TRUNC('Well calls each plate'!AA13)+6,ROW()+1))
)
)</f>
        <v>15.625</v>
      </c>
      <c r="AB13" s="61" cm="1">
        <f t="array" aca="1" ref="AB13" ca="1">IF(
MOD('Well calls each plate'!AB13,1)=0,
INDIRECT("'Plate map key'!"&amp;ADDRESS('Well calls each plate'!AB13+5,ROW()+1)),
AVERAGE(
INDIRECT("'Plate map key'!"&amp;ADDRESS(TRUNC('Well calls each plate'!AB13)+5,ROW()+1)),
INDIRECT("'Plate map key'!"&amp;ADDRESS(TRUNC('Well calls each plate'!AB13)+6,ROW()+1))
)
)</f>
        <v>15.625</v>
      </c>
      <c r="AC13" s="61" cm="1">
        <f t="array" aca="1" ref="AC13" ca="1">IF(
MOD('Well calls each plate'!AC13,1)=0,
INDIRECT("'Plate map key'!"&amp;ADDRESS('Well calls each plate'!AC13+5,ROW()+1)),
AVERAGE(
INDIRECT("'Plate map key'!"&amp;ADDRESS(TRUNC('Well calls each plate'!AC13)+5,ROW()+1)),
INDIRECT("'Plate map key'!"&amp;ADDRESS(TRUNC('Well calls each plate'!AC13)+6,ROW()+1))
)
)</f>
        <v>15.625</v>
      </c>
      <c r="AD13" s="61" cm="1">
        <f t="array" aca="1" ref="AD13" ca="1">IF(
MOD('Well calls each plate'!AD13,1)=0,
INDIRECT("'Plate map key'!"&amp;ADDRESS('Well calls each plate'!AD13+5,ROW()+1)),
AVERAGE(
INDIRECT("'Plate map key'!"&amp;ADDRESS(TRUNC('Well calls each plate'!AD13)+5,ROW()+1)),
INDIRECT("'Plate map key'!"&amp;ADDRESS(TRUNC('Well calls each plate'!AD13)+6,ROW()+1))
)
)</f>
        <v>15.625</v>
      </c>
      <c r="AE13" s="61" cm="1">
        <f t="array" aca="1" ref="AE13" ca="1">IF(
MOD('Well calls each plate'!AE13,1)=0,
INDIRECT("'Plate map key'!"&amp;ADDRESS('Well calls each plate'!AE13+5,ROW()+1)),
AVERAGE(
INDIRECT("'Plate map key'!"&amp;ADDRESS(TRUNC('Well calls each plate'!AE13)+5,ROW()+1)),
INDIRECT("'Plate map key'!"&amp;ADDRESS(TRUNC('Well calls each plate'!AE13)+6,ROW()+1))
)
)</f>
        <v>15.625</v>
      </c>
      <c r="AF13" s="61" cm="1">
        <f t="array" aca="1" ref="AF13" ca="1">IF(
MOD('Well calls each plate'!AF13,1)=0,
INDIRECT("'Plate map key'!"&amp;ADDRESS('Well calls each plate'!AF13+5,ROW()+1)),
AVERAGE(
INDIRECT("'Plate map key'!"&amp;ADDRESS(TRUNC('Well calls each plate'!AF13)+5,ROW()+1)),
INDIRECT("'Plate map key'!"&amp;ADDRESS(TRUNC('Well calls each plate'!AF13)+6,ROW()+1))
)
)</f>
        <v>15.625</v>
      </c>
      <c r="AG13" s="61" cm="1">
        <f t="array" aca="1" ref="AG13" ca="1">IF(
MOD('Well calls each plate'!AG13,1)=0,
INDIRECT("'Plate map key'!"&amp;ADDRESS('Well calls each plate'!AG13+5,ROW()+1)),
AVERAGE(
INDIRECT("'Plate map key'!"&amp;ADDRESS(TRUNC('Well calls each plate'!AG13)+5,ROW()+1)),
INDIRECT("'Plate map key'!"&amp;ADDRESS(TRUNC('Well calls each plate'!AG13)+6,ROW()+1))
)
)</f>
        <v>15.625</v>
      </c>
      <c r="AH13" s="61" cm="1">
        <f t="array" aca="1" ref="AH13" ca="1">IF(
MOD('Well calls each plate'!AH13,1)=0,
INDIRECT("'Plate map key'!"&amp;ADDRESS('Well calls each plate'!AH13+5,ROW()+1)),
AVERAGE(
INDIRECT("'Plate map key'!"&amp;ADDRESS(TRUNC('Well calls each plate'!AH13)+5,ROW()+1)),
INDIRECT("'Plate map key'!"&amp;ADDRESS(TRUNC('Well calls each plate'!AH13)+6,ROW()+1))
)
)</f>
        <v>15.625</v>
      </c>
      <c r="AI13" s="61" cm="1">
        <f t="array" aca="1" ref="AI13" ca="1">IF(
MOD('Well calls each plate'!AI13,1)=0,
INDIRECT("'Plate map key'!"&amp;ADDRESS('Well calls each plate'!AI13+5,ROW()+1)),
AVERAGE(
INDIRECT("'Plate map key'!"&amp;ADDRESS(TRUNC('Well calls each plate'!AI13)+5,ROW()+1)),
INDIRECT("'Plate map key'!"&amp;ADDRESS(TRUNC('Well calls each plate'!AI13)+6,ROW()+1))
)
)</f>
        <v>31.25</v>
      </c>
      <c r="AJ13" s="61" cm="1">
        <f t="array" aca="1" ref="AJ13" ca="1">IF(
MOD('Well calls each plate'!AJ13,1)=0,
INDIRECT("'Plate map key'!"&amp;ADDRESS('Well calls each plate'!AJ13+5,ROW()+1)),
AVERAGE(
INDIRECT("'Plate map key'!"&amp;ADDRESS(TRUNC('Well calls each plate'!AJ13)+5,ROW()+1)),
INDIRECT("'Plate map key'!"&amp;ADDRESS(TRUNC('Well calls each plate'!AJ13)+6,ROW()+1))
)
)</f>
        <v>31.25</v>
      </c>
      <c r="AK13" s="61" cm="1">
        <f t="array" aca="1" ref="AK13" ca="1">IF(
MOD('Well calls each plate'!AK13,1)=0,
INDIRECT("'Plate map key'!"&amp;ADDRESS('Well calls each plate'!AK13+5,ROW()+1)),
AVERAGE(
INDIRECT("'Plate map key'!"&amp;ADDRESS(TRUNC('Well calls each plate'!AK13)+5,ROW()+1)),
INDIRECT("'Plate map key'!"&amp;ADDRESS(TRUNC('Well calls each plate'!AK13)+6,ROW()+1))
)
)</f>
        <v>15.625</v>
      </c>
      <c r="AL13" s="61" cm="1">
        <f t="array" aca="1" ref="AL13" ca="1">IF(
MOD('Well calls each plate'!AL13,1)=0,
INDIRECT("'Plate map key'!"&amp;ADDRESS('Well calls each plate'!AL13+5,ROW()+1)),
AVERAGE(
INDIRECT("'Plate map key'!"&amp;ADDRESS(TRUNC('Well calls each plate'!AL13)+5,ROW()+1)),
INDIRECT("'Plate map key'!"&amp;ADDRESS(TRUNC('Well calls each plate'!AL13)+6,ROW()+1))
)
)</f>
        <v>15.625</v>
      </c>
      <c r="AM13" s="61" cm="1">
        <f t="array" aca="1" ref="AM13" ca="1">IF(
MOD('Well calls each plate'!AM13,1)=0,
INDIRECT("'Plate map key'!"&amp;ADDRESS('Well calls each plate'!AM13+5,ROW()+1)),
AVERAGE(
INDIRECT("'Plate map key'!"&amp;ADDRESS(TRUNC('Well calls each plate'!AM13)+5,ROW()+1)),
INDIRECT("'Plate map key'!"&amp;ADDRESS(TRUNC('Well calls each plate'!AM13)+6,ROW()+1))
)
)</f>
        <v>31.25</v>
      </c>
      <c r="AN13" s="61" cm="1">
        <f t="array" aca="1" ref="AN13" ca="1">IF(
MOD('Well calls each plate'!AN13,1)=0,
INDIRECT("'Plate map key'!"&amp;ADDRESS('Well calls each plate'!AN13+5,ROW()+1)),
AVERAGE(
INDIRECT("'Plate map key'!"&amp;ADDRESS(TRUNC('Well calls each plate'!AN13)+5,ROW()+1)),
INDIRECT("'Plate map key'!"&amp;ADDRESS(TRUNC('Well calls each plate'!AN13)+6,ROW()+1))
)
)</f>
        <v>23.4375</v>
      </c>
      <c r="AO13" s="61" cm="1">
        <f t="array" aca="1" ref="AO13" ca="1">IF(
MOD('Well calls each plate'!AO13,1)=0,
INDIRECT("'Plate map key'!"&amp;ADDRESS('Well calls each plate'!AO13+5,ROW()+1)),
AVERAGE(
INDIRECT("'Plate map key'!"&amp;ADDRESS(TRUNC('Well calls each plate'!AO13)+5,ROW()+1)),
INDIRECT("'Plate map key'!"&amp;ADDRESS(TRUNC('Well calls each plate'!AO13)+6,ROW()+1))
)
)</f>
        <v>31.25</v>
      </c>
      <c r="AP13" s="61" cm="1">
        <f t="array" aca="1" ref="AP13" ca="1">IF(
MOD('Well calls each plate'!AP13,1)=0,
INDIRECT("'Plate map key'!"&amp;ADDRESS('Well calls each plate'!AP13+5,ROW()+1)),
AVERAGE(
INDIRECT("'Plate map key'!"&amp;ADDRESS(TRUNC('Well calls each plate'!AP13)+5,ROW()+1)),
INDIRECT("'Plate map key'!"&amp;ADDRESS(TRUNC('Well calls each plate'!AP13)+6,ROW()+1))
)
)</f>
        <v>7.8125</v>
      </c>
      <c r="AQ13" s="61" cm="1">
        <f t="array" aca="1" ref="AQ13" ca="1">IF(
MOD('Well calls each plate'!AQ13,1)=0,
INDIRECT("'Plate map key'!"&amp;ADDRESS('Well calls each plate'!AQ13+5,ROW()+1)),
AVERAGE(
INDIRECT("'Plate map key'!"&amp;ADDRESS(TRUNC('Well calls each plate'!AQ13)+5,ROW()+1)),
INDIRECT("'Plate map key'!"&amp;ADDRESS(TRUNC('Well calls each plate'!AQ13)+6,ROW()+1))
)
)</f>
        <v>15.625</v>
      </c>
      <c r="AR13" s="61" cm="1">
        <f t="array" aca="1" ref="AR13" ca="1">IF(
MOD('Well calls each plate'!AR13,1)=0,
INDIRECT("'Plate map key'!"&amp;ADDRESS('Well calls each plate'!AR13+5,ROW()+1)),
AVERAGE(
INDIRECT("'Plate map key'!"&amp;ADDRESS(TRUNC('Well calls each plate'!AR13)+5,ROW()+1)),
INDIRECT("'Plate map key'!"&amp;ADDRESS(TRUNC('Well calls each plate'!AR13)+6,ROW()+1))
)
)</f>
        <v>15.625</v>
      </c>
      <c r="AS13" s="61" cm="1">
        <f t="array" aca="1" ref="AS13" ca="1">IF(
MOD('Well calls each plate'!AS13,1)=0,
INDIRECT("'Plate map key'!"&amp;ADDRESS('Well calls each plate'!AS13+5,ROW()+1)),
AVERAGE(
INDIRECT("'Plate map key'!"&amp;ADDRESS(TRUNC('Well calls each plate'!AS13)+5,ROW()+1)),
INDIRECT("'Plate map key'!"&amp;ADDRESS(TRUNC('Well calls each plate'!AS13)+6,ROW()+1))
)
)</f>
        <v>15.625</v>
      </c>
      <c r="AT13" s="61" cm="1">
        <f t="array" aca="1" ref="AT13" ca="1">IF(
MOD('Well calls each plate'!AT13,1)=0,
INDIRECT("'Plate map key'!"&amp;ADDRESS('Well calls each plate'!AT13+5,ROW()+1)),
AVERAGE(
INDIRECT("'Plate map key'!"&amp;ADDRESS(TRUNC('Well calls each plate'!AT13)+5,ROW()+1)),
INDIRECT("'Plate map key'!"&amp;ADDRESS(TRUNC('Well calls each plate'!AT13)+6,ROW()+1))
)
)</f>
        <v>15.625</v>
      </c>
      <c r="AU13" s="61" cm="1">
        <f t="array" aca="1" ref="AU13" ca="1">IF(
MOD('Well calls each plate'!AU13,1)=0,
INDIRECT("'Plate map key'!"&amp;ADDRESS('Well calls each plate'!AU13+5,ROW()+1)),
AVERAGE(
INDIRECT("'Plate map key'!"&amp;ADDRESS(TRUNC('Well calls each plate'!AU13)+5,ROW()+1)),
INDIRECT("'Plate map key'!"&amp;ADDRESS(TRUNC('Well calls each plate'!AU13)+6,ROW()+1))
)
)</f>
        <v>15.625</v>
      </c>
      <c r="AV13" s="61" cm="1">
        <f t="array" aca="1" ref="AV13" ca="1">IF(
MOD('Well calls each plate'!AV13,1)=0,
INDIRECT("'Plate map key'!"&amp;ADDRESS('Well calls each plate'!AV13+5,ROW()+1)),
AVERAGE(
INDIRECT("'Plate map key'!"&amp;ADDRESS(TRUNC('Well calls each plate'!AV13)+5,ROW()+1)),
INDIRECT("'Plate map key'!"&amp;ADDRESS(TRUNC('Well calls each plate'!AV13)+6,ROW()+1))
)
)</f>
        <v>62.5</v>
      </c>
      <c r="AW13" s="61" cm="1">
        <f t="array" aca="1" ref="AW13" ca="1">IF(
MOD('Well calls each plate'!AW13,1)=0,
INDIRECT("'Plate map key'!"&amp;ADDRESS('Well calls each plate'!AW13+5,ROW()+1)),
AVERAGE(
INDIRECT("'Plate map key'!"&amp;ADDRESS(TRUNC('Well calls each plate'!AW13)+5,ROW()+1)),
INDIRECT("'Plate map key'!"&amp;ADDRESS(TRUNC('Well calls each plate'!AW13)+6,ROW()+1))
)
)</f>
        <v>62.5</v>
      </c>
      <c r="AX13" s="61" cm="1">
        <f t="array" aca="1" ref="AX13" ca="1">IF(
MOD('Well calls each plate'!AX13,1)=0,
INDIRECT("'Plate map key'!"&amp;ADDRESS('Well calls each plate'!AX13+5,ROW()+1)),
AVERAGE(
INDIRECT("'Plate map key'!"&amp;ADDRESS(TRUNC('Well calls each plate'!AX13)+5,ROW()+1)),
INDIRECT("'Plate map key'!"&amp;ADDRESS(TRUNC('Well calls each plate'!AX13)+6,ROW()+1))
)
)</f>
        <v>62.5</v>
      </c>
      <c r="AY13" s="61" cm="1">
        <f t="array" aca="1" ref="AY13" ca="1">IF(
MOD('Well calls each plate'!AY13,1)=0,
INDIRECT("'Plate map key'!"&amp;ADDRESS('Well calls each plate'!AY13+5,ROW()+1)),
AVERAGE(
INDIRECT("'Plate map key'!"&amp;ADDRESS(TRUNC('Well calls each plate'!AY13)+5,ROW()+1)),
INDIRECT("'Plate map key'!"&amp;ADDRESS(TRUNC('Well calls each plate'!AY13)+6,ROW()+1))
)
)</f>
        <v>15.625</v>
      </c>
      <c r="AZ13" s="61" cm="1">
        <f t="array" aca="1" ref="AZ13" ca="1">IF(
MOD('Well calls each plate'!AZ13,1)=0,
INDIRECT("'Plate map key'!"&amp;ADDRESS('Well calls each plate'!AZ13+5,ROW()+1)),
AVERAGE(
INDIRECT("'Plate map key'!"&amp;ADDRESS(TRUNC('Well calls each plate'!AZ13)+5,ROW()+1)),
INDIRECT("'Plate map key'!"&amp;ADDRESS(TRUNC('Well calls each plate'!AZ13)+6,ROW()+1))
)
)</f>
        <v>15.625</v>
      </c>
      <c r="BA13" s="61" cm="1">
        <f t="array" aca="1" ref="BA13" ca="1">IF(
MOD('Well calls each plate'!BA13,1)=0,
INDIRECT("'Plate map key'!"&amp;ADDRESS('Well calls each plate'!BA13+5,ROW()+1)),
AVERAGE(
INDIRECT("'Plate map key'!"&amp;ADDRESS(TRUNC('Well calls each plate'!BA13)+5,ROW()+1)),
INDIRECT("'Plate map key'!"&amp;ADDRESS(TRUNC('Well calls each plate'!BA13)+6,ROW()+1))
)
)</f>
        <v>15.625</v>
      </c>
      <c r="BB13" s="61" cm="1">
        <f t="array" aca="1" ref="BB13" ca="1">IF(
MOD('Well calls each plate'!BB13,1)=0,
INDIRECT("'Plate map key'!"&amp;ADDRESS('Well calls each plate'!BB13+5,ROW()+1)),
AVERAGE(
INDIRECT("'Plate map key'!"&amp;ADDRESS(TRUNC('Well calls each plate'!BB13)+5,ROW()+1)),
INDIRECT("'Plate map key'!"&amp;ADDRESS(TRUNC('Well calls each plate'!BB13)+6,ROW()+1))
)
)</f>
        <v>7.8125</v>
      </c>
      <c r="BC13" s="61" cm="1">
        <f t="array" aca="1" ref="BC13" ca="1">IF(
MOD('Well calls each plate'!BC13,1)=0,
INDIRECT("'Plate map key'!"&amp;ADDRESS('Well calls each plate'!BC13+5,ROW()+1)),
AVERAGE(
INDIRECT("'Plate map key'!"&amp;ADDRESS(TRUNC('Well calls each plate'!BC13)+5,ROW()+1)),
INDIRECT("'Plate map key'!"&amp;ADDRESS(TRUNC('Well calls each plate'!BC13)+6,ROW()+1))
)
)</f>
        <v>7.8125</v>
      </c>
      <c r="BD13" s="61" cm="1">
        <f t="array" aca="1" ref="BD13" ca="1">IF(
MOD('Well calls each plate'!BD13,1)=0,
INDIRECT("'Plate map key'!"&amp;ADDRESS('Well calls each plate'!BD13+5,ROW()+1)),
AVERAGE(
INDIRECT("'Plate map key'!"&amp;ADDRESS(TRUNC('Well calls each plate'!BD13)+5,ROW()+1)),
INDIRECT("'Plate map key'!"&amp;ADDRESS(TRUNC('Well calls each plate'!BD13)+6,ROW()+1))
)
)</f>
        <v>7.8125</v>
      </c>
      <c r="BE13" s="61" cm="1">
        <f t="array" aca="1" ref="BE13" ca="1">IF(
MOD('Well calls each plate'!BE13,1)=0,
INDIRECT("'Plate map key'!"&amp;ADDRESS('Well calls each plate'!BE13+5,ROW()+1)),
AVERAGE(
INDIRECT("'Plate map key'!"&amp;ADDRESS(TRUNC('Well calls each plate'!BE13)+5,ROW()+1)),
INDIRECT("'Plate map key'!"&amp;ADDRESS(TRUNC('Well calls each plate'!BE13)+6,ROW()+1))
)
)</f>
        <v>5.859375</v>
      </c>
      <c r="BF13" s="61" cm="1">
        <f t="array" aca="1" ref="BF13" ca="1">IF(
MOD('Well calls each plate'!BF13,1)=0,
INDIRECT("'Plate map key'!"&amp;ADDRESS('Well calls each plate'!BF13+5,ROW()+1)),
AVERAGE(
INDIRECT("'Plate map key'!"&amp;ADDRESS(TRUNC('Well calls each plate'!BF13)+5,ROW()+1)),
INDIRECT("'Plate map key'!"&amp;ADDRESS(TRUNC('Well calls each plate'!BF13)+6,ROW()+1))
)
)</f>
        <v>5.859375</v>
      </c>
      <c r="BG13" s="61" cm="1">
        <f t="array" aca="1" ref="BG13" ca="1">IF(
MOD('Well calls each plate'!BG13,1)=0,
INDIRECT("'Plate map key'!"&amp;ADDRESS('Well calls each plate'!BG13+5,ROW()+1)),
AVERAGE(
INDIRECT("'Plate map key'!"&amp;ADDRESS(TRUNC('Well calls each plate'!BG13)+5,ROW()+1)),
INDIRECT("'Plate map key'!"&amp;ADDRESS(TRUNC('Well calls each plate'!BG13)+6,ROW()+1))
)
)</f>
        <v>5.859375</v>
      </c>
      <c r="BH13" s="61" cm="1">
        <f t="array" aca="1" ref="BH13" ca="1">IF(
MOD('Well calls each plate'!BH13,1)=0,
INDIRECT("'Plate map key'!"&amp;ADDRESS('Well calls each plate'!BH13+5,ROW()+1)),
AVERAGE(
INDIRECT("'Plate map key'!"&amp;ADDRESS(TRUNC('Well calls each plate'!BH13)+5,ROW()+1)),
INDIRECT("'Plate map key'!"&amp;ADDRESS(TRUNC('Well calls each plate'!BH13)+6,ROW()+1))
)
)</f>
        <v>15.625</v>
      </c>
      <c r="BI13" s="61" cm="1">
        <f t="array" aca="1" ref="BI13" ca="1">IF(
MOD('Well calls each plate'!BI13,1)=0,
INDIRECT("'Plate map key'!"&amp;ADDRESS('Well calls each plate'!BI13+5,ROW()+1)),
AVERAGE(
INDIRECT("'Plate map key'!"&amp;ADDRESS(TRUNC('Well calls each plate'!BI13)+5,ROW()+1)),
INDIRECT("'Plate map key'!"&amp;ADDRESS(TRUNC('Well calls each plate'!BI13)+6,ROW()+1))
)
)</f>
        <v>15.625</v>
      </c>
      <c r="BJ13" s="61" cm="1">
        <f t="array" aca="1" ref="BJ13" ca="1">IF(
MOD('Well calls each plate'!BJ13,1)=0,
INDIRECT("'Plate map key'!"&amp;ADDRESS('Well calls each plate'!BJ13+5,ROW()+1)),
AVERAGE(
INDIRECT("'Plate map key'!"&amp;ADDRESS(TRUNC('Well calls each plate'!BJ13)+5,ROW()+1)),
INDIRECT("'Plate map key'!"&amp;ADDRESS(TRUNC('Well calls each plate'!BJ13)+6,ROW()+1))
)
)</f>
        <v>15.625</v>
      </c>
      <c r="BK13" s="61" cm="1">
        <f t="array" aca="1" ref="BK13" ca="1">IF(
MOD('Well calls each plate'!BK13,1)=0,
INDIRECT("'Plate map key'!"&amp;ADDRESS('Well calls each plate'!BK13+5,ROW()+1)),
AVERAGE(
INDIRECT("'Plate map key'!"&amp;ADDRESS(TRUNC('Well calls each plate'!BK13)+5,ROW()+1)),
INDIRECT("'Plate map key'!"&amp;ADDRESS(TRUNC('Well calls each plate'!BK13)+6,ROW()+1))
)
)</f>
        <v>7.8125</v>
      </c>
      <c r="BL13" s="61" cm="1">
        <f t="array" aca="1" ref="BL13" ca="1">IF(
MOD('Well calls each plate'!BL13,1)=0,
INDIRECT("'Plate map key'!"&amp;ADDRESS('Well calls each plate'!BL13+5,ROW()+1)),
AVERAGE(
INDIRECT("'Plate map key'!"&amp;ADDRESS(TRUNC('Well calls each plate'!BL13)+5,ROW()+1)),
INDIRECT("'Plate map key'!"&amp;ADDRESS(TRUNC('Well calls each plate'!BL13)+6,ROW()+1))
)
)</f>
        <v>7.8125</v>
      </c>
      <c r="BM13" s="61" cm="1">
        <f t="array" aca="1" ref="BM13" ca="1">IF(
MOD('Well calls each plate'!BM13,1)=0,
INDIRECT("'Plate map key'!"&amp;ADDRESS('Well calls each plate'!BM13+5,ROW()+1)),
AVERAGE(
INDIRECT("'Plate map key'!"&amp;ADDRESS(TRUNC('Well calls each plate'!BM13)+5,ROW()+1)),
INDIRECT("'Plate map key'!"&amp;ADDRESS(TRUNC('Well calls each plate'!BM13)+6,ROW()+1))
)
)</f>
        <v>7.8125</v>
      </c>
    </row>
    <row r="14" spans="2:65" x14ac:dyDescent="0.2">
      <c r="B14" s="48"/>
    </row>
    <row r="17" spans="2:2" x14ac:dyDescent="0.2">
      <c r="B17" t="s">
        <v>50</v>
      </c>
    </row>
  </sheetData>
  <mergeCells count="21">
    <mergeCell ref="AJ1:AL1"/>
    <mergeCell ref="C1:E1"/>
    <mergeCell ref="F1:H1"/>
    <mergeCell ref="I1:K1"/>
    <mergeCell ref="L1:N1"/>
    <mergeCell ref="O1:Q1"/>
    <mergeCell ref="R1:T1"/>
    <mergeCell ref="U1:W1"/>
    <mergeCell ref="X1:Z1"/>
    <mergeCell ref="AA1:AC1"/>
    <mergeCell ref="AD1:AF1"/>
    <mergeCell ref="AG1:AI1"/>
    <mergeCell ref="BE1:BG1"/>
    <mergeCell ref="BH1:BJ1"/>
    <mergeCell ref="BK1:BM1"/>
    <mergeCell ref="AM1:AO1"/>
    <mergeCell ref="AP1:AR1"/>
    <mergeCell ref="AS1:AU1"/>
    <mergeCell ref="AV1:AX1"/>
    <mergeCell ref="AY1:BA1"/>
    <mergeCell ref="BB1:B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BE12-F0A5-554B-85D2-6119864003D8}">
  <dimension ref="B1:BM18"/>
  <sheetViews>
    <sheetView zoomScale="125" workbookViewId="0">
      <selection activeCell="M12" sqref="M12"/>
    </sheetView>
  </sheetViews>
  <sheetFormatPr baseColWidth="10" defaultRowHeight="16" x14ac:dyDescent="0.2"/>
  <cols>
    <col min="2" max="2" width="13" bestFit="1" customWidth="1"/>
  </cols>
  <sheetData>
    <row r="1" spans="2:65" x14ac:dyDescent="0.2">
      <c r="B1" t="s">
        <v>41</v>
      </c>
      <c r="C1" s="65" t="s">
        <v>22</v>
      </c>
      <c r="D1" s="65"/>
      <c r="E1" s="65"/>
      <c r="F1" s="65" t="s">
        <v>23</v>
      </c>
      <c r="G1" s="65"/>
      <c r="H1" s="65"/>
      <c r="I1" s="65" t="s">
        <v>24</v>
      </c>
      <c r="J1" s="65"/>
      <c r="K1" s="65"/>
      <c r="L1" s="65" t="s">
        <v>25</v>
      </c>
      <c r="M1" s="65"/>
      <c r="N1" s="65"/>
      <c r="O1" s="65" t="s">
        <v>26</v>
      </c>
      <c r="P1" s="65"/>
      <c r="Q1" s="65"/>
      <c r="R1" s="65" t="s">
        <v>27</v>
      </c>
      <c r="S1" s="65"/>
      <c r="T1" s="65"/>
      <c r="U1" s="65" t="s">
        <v>28</v>
      </c>
      <c r="V1" s="65"/>
      <c r="W1" s="65"/>
      <c r="X1" s="65" t="s">
        <v>29</v>
      </c>
      <c r="Y1" s="65"/>
      <c r="Z1" s="65"/>
      <c r="AA1" s="65" t="s">
        <v>30</v>
      </c>
      <c r="AB1" s="65"/>
      <c r="AC1" s="65"/>
      <c r="AD1" s="65" t="s">
        <v>43</v>
      </c>
      <c r="AE1" s="65"/>
      <c r="AF1" s="65"/>
      <c r="AG1" s="65" t="s">
        <v>44</v>
      </c>
      <c r="AH1" s="65"/>
      <c r="AI1" s="65"/>
      <c r="AJ1" s="65" t="s">
        <v>31</v>
      </c>
      <c r="AK1" s="65"/>
      <c r="AL1" s="65"/>
      <c r="AM1" s="65" t="s">
        <v>32</v>
      </c>
      <c r="AN1" s="65"/>
      <c r="AO1" s="65"/>
      <c r="AP1" s="65" t="s">
        <v>33</v>
      </c>
      <c r="AQ1" s="65"/>
      <c r="AR1" s="65"/>
      <c r="AS1" s="65" t="s">
        <v>34</v>
      </c>
      <c r="AT1" s="65"/>
      <c r="AU1" s="65"/>
      <c r="AV1" s="65" t="s">
        <v>35</v>
      </c>
      <c r="AW1" s="65"/>
      <c r="AX1" s="65"/>
      <c r="AY1" s="65" t="s">
        <v>36</v>
      </c>
      <c r="AZ1" s="65"/>
      <c r="BA1" s="65"/>
      <c r="BB1" s="65" t="s">
        <v>37</v>
      </c>
      <c r="BC1" s="65"/>
      <c r="BD1" s="65"/>
      <c r="BE1" s="65" t="s">
        <v>38</v>
      </c>
      <c r="BF1" s="65"/>
      <c r="BG1" s="65"/>
      <c r="BH1" s="65" t="s">
        <v>39</v>
      </c>
      <c r="BI1" s="65"/>
      <c r="BJ1" s="65"/>
      <c r="BK1" s="65" t="s">
        <v>40</v>
      </c>
      <c r="BL1" s="65"/>
      <c r="BM1" s="65"/>
    </row>
    <row r="2" spans="2:65" x14ac:dyDescent="0.2">
      <c r="B2" t="s">
        <v>42</v>
      </c>
      <c r="C2">
        <v>1</v>
      </c>
      <c r="D2">
        <v>2</v>
      </c>
      <c r="E2">
        <v>3</v>
      </c>
      <c r="F2">
        <v>1</v>
      </c>
      <c r="G2">
        <v>2</v>
      </c>
      <c r="H2">
        <v>3</v>
      </c>
      <c r="I2">
        <v>1</v>
      </c>
      <c r="J2">
        <v>2</v>
      </c>
      <c r="K2">
        <v>3</v>
      </c>
      <c r="L2">
        <v>1</v>
      </c>
      <c r="M2">
        <v>2</v>
      </c>
      <c r="N2">
        <v>3</v>
      </c>
      <c r="O2">
        <v>1</v>
      </c>
      <c r="P2">
        <v>2</v>
      </c>
      <c r="Q2">
        <v>3</v>
      </c>
      <c r="R2">
        <v>1</v>
      </c>
      <c r="S2">
        <v>2</v>
      </c>
      <c r="T2">
        <v>3</v>
      </c>
      <c r="U2">
        <v>1</v>
      </c>
      <c r="V2">
        <v>2</v>
      </c>
      <c r="W2">
        <v>3</v>
      </c>
      <c r="X2">
        <v>1</v>
      </c>
      <c r="Y2">
        <v>2</v>
      </c>
      <c r="Z2">
        <v>3</v>
      </c>
      <c r="AA2">
        <v>1</v>
      </c>
      <c r="AB2">
        <v>2</v>
      </c>
      <c r="AC2">
        <v>3</v>
      </c>
      <c r="AD2">
        <v>1</v>
      </c>
      <c r="AE2">
        <v>2</v>
      </c>
      <c r="AF2">
        <v>3</v>
      </c>
      <c r="AG2">
        <v>1</v>
      </c>
      <c r="AH2">
        <v>2</v>
      </c>
      <c r="AI2">
        <v>3</v>
      </c>
      <c r="AJ2">
        <v>1</v>
      </c>
      <c r="AK2">
        <v>2</v>
      </c>
      <c r="AL2">
        <v>3</v>
      </c>
      <c r="AM2">
        <v>1</v>
      </c>
      <c r="AN2">
        <v>2</v>
      </c>
      <c r="AO2">
        <v>3</v>
      </c>
      <c r="AP2">
        <v>1</v>
      </c>
      <c r="AQ2">
        <v>2</v>
      </c>
      <c r="AR2">
        <v>3</v>
      </c>
      <c r="AS2">
        <v>1</v>
      </c>
      <c r="AT2">
        <v>2</v>
      </c>
      <c r="AU2">
        <v>3</v>
      </c>
      <c r="AV2">
        <v>1</v>
      </c>
      <c r="AW2">
        <v>2</v>
      </c>
      <c r="AX2">
        <v>3</v>
      </c>
      <c r="AY2">
        <v>1</v>
      </c>
      <c r="AZ2">
        <v>2</v>
      </c>
      <c r="BA2">
        <v>3</v>
      </c>
      <c r="BB2">
        <v>1</v>
      </c>
      <c r="BC2">
        <v>2</v>
      </c>
      <c r="BD2">
        <v>3</v>
      </c>
      <c r="BE2">
        <v>1</v>
      </c>
      <c r="BF2">
        <v>2</v>
      </c>
      <c r="BG2">
        <v>3</v>
      </c>
      <c r="BH2">
        <v>1</v>
      </c>
      <c r="BI2">
        <v>2</v>
      </c>
      <c r="BJ2">
        <v>3</v>
      </c>
      <c r="BK2">
        <v>1</v>
      </c>
      <c r="BL2">
        <v>2</v>
      </c>
      <c r="BM2">
        <v>3</v>
      </c>
    </row>
    <row r="3" spans="2:65" x14ac:dyDescent="0.2">
      <c r="B3" s="2" t="s">
        <v>0</v>
      </c>
      <c r="C3" s="46">
        <v>5.5</v>
      </c>
      <c r="D3" s="46">
        <v>5.5</v>
      </c>
      <c r="E3" s="46">
        <v>5.5</v>
      </c>
      <c r="F3" s="46">
        <v>5.5</v>
      </c>
      <c r="G3" s="46">
        <v>6</v>
      </c>
      <c r="H3" s="46">
        <v>6.5</v>
      </c>
      <c r="I3" s="46">
        <v>7</v>
      </c>
      <c r="J3" s="46">
        <v>7</v>
      </c>
      <c r="K3" s="46">
        <v>7</v>
      </c>
      <c r="L3" s="46">
        <v>4.5</v>
      </c>
      <c r="M3" s="46">
        <v>4.5</v>
      </c>
      <c r="N3" s="46">
        <v>4.5</v>
      </c>
      <c r="O3" s="46">
        <v>5</v>
      </c>
      <c r="P3" s="46">
        <v>5</v>
      </c>
      <c r="Q3" s="46">
        <v>5</v>
      </c>
      <c r="R3" s="46">
        <v>6</v>
      </c>
      <c r="S3" s="46">
        <v>6</v>
      </c>
      <c r="T3" s="46">
        <v>6</v>
      </c>
      <c r="U3" s="46">
        <v>6</v>
      </c>
      <c r="V3" s="46">
        <v>5.5</v>
      </c>
      <c r="W3" s="46">
        <v>5.5</v>
      </c>
      <c r="X3" s="46">
        <v>6.5</v>
      </c>
      <c r="Y3" s="46">
        <v>6.5</v>
      </c>
      <c r="Z3" s="46">
        <v>6.5</v>
      </c>
      <c r="AA3" s="46">
        <v>7.5</v>
      </c>
      <c r="AB3" s="46">
        <v>7.5</v>
      </c>
      <c r="AC3" s="46">
        <v>7</v>
      </c>
      <c r="AD3" s="46">
        <v>6</v>
      </c>
      <c r="AE3" s="46">
        <v>7</v>
      </c>
      <c r="AF3" s="46">
        <v>7</v>
      </c>
      <c r="AG3" s="46">
        <v>6</v>
      </c>
      <c r="AH3" s="46">
        <v>6</v>
      </c>
      <c r="AI3" s="46">
        <v>6</v>
      </c>
      <c r="AJ3" s="46">
        <v>5.5</v>
      </c>
      <c r="AK3" s="46">
        <v>5.5</v>
      </c>
      <c r="AL3" s="46">
        <v>5.5</v>
      </c>
      <c r="AM3" s="46">
        <v>5.5</v>
      </c>
      <c r="AN3" s="46">
        <v>5.5</v>
      </c>
      <c r="AO3" s="46">
        <v>6</v>
      </c>
      <c r="AP3" s="46">
        <v>6.5</v>
      </c>
      <c r="AQ3" s="46">
        <v>6.5</v>
      </c>
      <c r="AR3" s="46">
        <v>6.5</v>
      </c>
      <c r="AS3" s="46">
        <v>5.5</v>
      </c>
      <c r="AT3" s="46">
        <v>5.5</v>
      </c>
      <c r="AU3" s="46">
        <v>5.5</v>
      </c>
      <c r="AV3" s="46">
        <v>7</v>
      </c>
      <c r="AW3" s="46">
        <v>7</v>
      </c>
      <c r="AX3" s="46">
        <v>6.5</v>
      </c>
      <c r="AY3" s="46">
        <v>5.5</v>
      </c>
      <c r="AZ3" s="46">
        <v>5.5</v>
      </c>
      <c r="BA3" s="46">
        <v>5.5</v>
      </c>
      <c r="BB3" s="46">
        <v>6.5</v>
      </c>
      <c r="BC3" s="46">
        <v>6.5</v>
      </c>
      <c r="BD3" s="46">
        <v>6.5</v>
      </c>
      <c r="BE3" s="46">
        <v>7.5</v>
      </c>
      <c r="BF3" s="46">
        <v>7.5</v>
      </c>
      <c r="BG3" s="46">
        <v>7.5</v>
      </c>
      <c r="BH3" s="46">
        <v>6</v>
      </c>
      <c r="BI3" s="46">
        <v>6</v>
      </c>
      <c r="BJ3" s="46">
        <v>6</v>
      </c>
      <c r="BK3" s="46">
        <v>7</v>
      </c>
      <c r="BL3" s="46">
        <v>6.5</v>
      </c>
      <c r="BM3" s="46">
        <v>6.5</v>
      </c>
    </row>
    <row r="4" spans="2:65" x14ac:dyDescent="0.2">
      <c r="B4" s="3" t="s">
        <v>1</v>
      </c>
      <c r="C4" s="46">
        <v>4</v>
      </c>
      <c r="D4" s="46">
        <v>4</v>
      </c>
      <c r="E4" s="46">
        <v>4</v>
      </c>
      <c r="F4" s="46">
        <v>5.5</v>
      </c>
      <c r="G4" s="46">
        <v>5</v>
      </c>
      <c r="H4" s="46">
        <v>5.5</v>
      </c>
      <c r="I4" s="46">
        <v>6</v>
      </c>
      <c r="J4" s="46">
        <v>7</v>
      </c>
      <c r="K4" s="46">
        <v>6</v>
      </c>
      <c r="L4" s="46">
        <v>3.5</v>
      </c>
      <c r="M4" s="46">
        <v>3.5</v>
      </c>
      <c r="N4" s="46">
        <v>3.5</v>
      </c>
      <c r="O4" s="46">
        <v>4</v>
      </c>
      <c r="P4" s="46">
        <v>4</v>
      </c>
      <c r="Q4" s="46">
        <v>4</v>
      </c>
      <c r="R4" s="46">
        <v>5</v>
      </c>
      <c r="S4" s="46">
        <v>5</v>
      </c>
      <c r="T4" s="46">
        <v>5</v>
      </c>
      <c r="U4" s="46">
        <v>5</v>
      </c>
      <c r="V4" s="46">
        <v>5</v>
      </c>
      <c r="W4" s="46">
        <v>5</v>
      </c>
      <c r="X4" s="46">
        <v>5.5</v>
      </c>
      <c r="Y4" s="46">
        <v>6</v>
      </c>
      <c r="Z4" s="46">
        <v>6</v>
      </c>
      <c r="AA4" s="46">
        <v>6.5</v>
      </c>
      <c r="AB4" s="46">
        <v>6.5</v>
      </c>
      <c r="AC4" s="46">
        <v>6.5</v>
      </c>
      <c r="AD4" s="46">
        <v>6</v>
      </c>
      <c r="AE4" s="46">
        <v>6</v>
      </c>
      <c r="AF4" s="46">
        <v>6</v>
      </c>
      <c r="AG4" s="46">
        <v>5.5</v>
      </c>
      <c r="AH4" s="46">
        <v>5.5</v>
      </c>
      <c r="AI4" s="46">
        <v>5</v>
      </c>
      <c r="AJ4" s="46">
        <v>5</v>
      </c>
      <c r="AK4" s="46">
        <v>5</v>
      </c>
      <c r="AL4" s="46">
        <v>5</v>
      </c>
      <c r="AM4" s="46">
        <v>5</v>
      </c>
      <c r="AN4" s="46">
        <v>5</v>
      </c>
      <c r="AO4" s="46">
        <v>5</v>
      </c>
      <c r="AP4" s="46">
        <v>5.5</v>
      </c>
      <c r="AQ4" s="46">
        <v>6</v>
      </c>
      <c r="AR4" s="46">
        <v>5.5</v>
      </c>
      <c r="AS4" s="46">
        <v>5.5</v>
      </c>
      <c r="AT4" s="46">
        <v>5.5</v>
      </c>
      <c r="AU4" s="46">
        <v>5.5</v>
      </c>
      <c r="AV4" s="46">
        <v>6</v>
      </c>
      <c r="AW4" s="46">
        <v>6</v>
      </c>
      <c r="AX4" s="46">
        <v>6</v>
      </c>
      <c r="AY4" s="46">
        <v>5</v>
      </c>
      <c r="AZ4" s="46">
        <v>5</v>
      </c>
      <c r="BA4" s="46">
        <v>5</v>
      </c>
      <c r="BB4" s="46">
        <v>5.5</v>
      </c>
      <c r="BC4" s="46">
        <v>5.5</v>
      </c>
      <c r="BD4" s="46">
        <v>5.5</v>
      </c>
      <c r="BE4" s="46">
        <v>6.5</v>
      </c>
      <c r="BF4" s="46">
        <v>6.5</v>
      </c>
      <c r="BG4" s="46">
        <v>6</v>
      </c>
      <c r="BH4" s="46">
        <v>5</v>
      </c>
      <c r="BI4" s="46">
        <v>5</v>
      </c>
      <c r="BJ4" s="46">
        <v>5</v>
      </c>
      <c r="BK4" s="46">
        <v>6</v>
      </c>
      <c r="BL4" s="46">
        <v>6</v>
      </c>
      <c r="BM4" s="46">
        <v>6</v>
      </c>
    </row>
    <row r="5" spans="2:65" x14ac:dyDescent="0.2">
      <c r="B5" s="4" t="s">
        <v>2</v>
      </c>
      <c r="C5" s="46">
        <v>5</v>
      </c>
      <c r="D5" s="46">
        <v>5</v>
      </c>
      <c r="E5" s="46">
        <v>5</v>
      </c>
      <c r="F5" s="46">
        <v>6.5</v>
      </c>
      <c r="G5" s="46">
        <v>6</v>
      </c>
      <c r="H5" s="46">
        <v>6</v>
      </c>
      <c r="I5" s="46">
        <v>6</v>
      </c>
      <c r="J5" s="46">
        <v>6</v>
      </c>
      <c r="K5" s="46">
        <v>6</v>
      </c>
      <c r="L5" s="46">
        <v>5.5</v>
      </c>
      <c r="M5" s="46">
        <v>4.5</v>
      </c>
      <c r="N5" s="46">
        <v>4.5</v>
      </c>
      <c r="O5" s="46">
        <v>5</v>
      </c>
      <c r="P5" s="46">
        <v>5</v>
      </c>
      <c r="Q5" s="46">
        <v>5</v>
      </c>
      <c r="R5" s="46">
        <v>6</v>
      </c>
      <c r="S5" s="46">
        <v>7</v>
      </c>
      <c r="T5" s="46">
        <v>6.5</v>
      </c>
      <c r="U5" s="46">
        <v>6.5</v>
      </c>
      <c r="V5" s="46">
        <v>6.5</v>
      </c>
      <c r="W5" s="46">
        <v>6.5</v>
      </c>
      <c r="X5" s="46">
        <v>6</v>
      </c>
      <c r="Y5" s="46">
        <v>5.5</v>
      </c>
      <c r="Z5" s="46">
        <v>6</v>
      </c>
      <c r="AA5" s="46">
        <v>5</v>
      </c>
      <c r="AB5" s="46">
        <v>5.5</v>
      </c>
      <c r="AC5" s="46">
        <v>5.5</v>
      </c>
      <c r="AD5" s="46">
        <v>8</v>
      </c>
      <c r="AE5" s="46">
        <v>8</v>
      </c>
      <c r="AF5" s="46">
        <v>8</v>
      </c>
      <c r="AG5" s="46">
        <v>5</v>
      </c>
      <c r="AH5" s="46">
        <v>5</v>
      </c>
      <c r="AI5" s="46">
        <v>5</v>
      </c>
      <c r="AJ5" s="46">
        <v>6.5</v>
      </c>
      <c r="AK5" s="46">
        <v>6.5</v>
      </c>
      <c r="AL5" s="46">
        <v>7</v>
      </c>
      <c r="AM5" s="46">
        <v>6.5</v>
      </c>
      <c r="AN5" s="46">
        <v>6.5</v>
      </c>
      <c r="AO5" s="46">
        <v>7</v>
      </c>
      <c r="AP5" s="46">
        <v>7.5</v>
      </c>
      <c r="AQ5" s="46">
        <v>7.5</v>
      </c>
      <c r="AR5" s="46">
        <v>7.5</v>
      </c>
      <c r="AS5" s="46">
        <v>7.5</v>
      </c>
      <c r="AT5" s="46">
        <v>7.5</v>
      </c>
      <c r="AU5" s="46">
        <v>8</v>
      </c>
      <c r="AV5" s="63">
        <f>MEDIAN(AW5:AX5)</f>
        <v>5.75</v>
      </c>
      <c r="AW5" s="46">
        <v>5.5</v>
      </c>
      <c r="AX5" s="46">
        <v>6</v>
      </c>
      <c r="AY5" s="46">
        <v>6</v>
      </c>
      <c r="AZ5" s="46">
        <v>6</v>
      </c>
      <c r="BA5" s="46">
        <v>6</v>
      </c>
      <c r="BB5" s="46">
        <v>7.5</v>
      </c>
      <c r="BC5" s="46">
        <v>7.5</v>
      </c>
      <c r="BD5" s="46">
        <v>8</v>
      </c>
      <c r="BE5" s="46">
        <v>8</v>
      </c>
      <c r="BF5" s="46">
        <v>8</v>
      </c>
      <c r="BG5" s="46">
        <v>7.5</v>
      </c>
      <c r="BH5" s="46">
        <v>6.5</v>
      </c>
      <c r="BI5" s="46">
        <v>7</v>
      </c>
      <c r="BJ5" s="46">
        <v>6</v>
      </c>
      <c r="BK5" s="46">
        <v>7.5</v>
      </c>
      <c r="BL5" s="46">
        <v>7</v>
      </c>
      <c r="BM5" s="46">
        <v>7</v>
      </c>
    </row>
    <row r="6" spans="2:65" x14ac:dyDescent="0.2">
      <c r="B6" s="5" t="s">
        <v>3</v>
      </c>
      <c r="C6" s="46">
        <v>3.5</v>
      </c>
      <c r="D6" s="46">
        <v>4</v>
      </c>
      <c r="E6" s="46">
        <v>4</v>
      </c>
      <c r="F6" s="46">
        <v>6.5</v>
      </c>
      <c r="G6" s="46">
        <v>6.5</v>
      </c>
      <c r="H6" s="46">
        <v>6.5</v>
      </c>
      <c r="I6" s="46">
        <v>5</v>
      </c>
      <c r="J6" s="46">
        <v>5</v>
      </c>
      <c r="K6" s="46">
        <v>5</v>
      </c>
      <c r="L6" s="46">
        <v>4.5</v>
      </c>
      <c r="M6" s="46">
        <v>4.5</v>
      </c>
      <c r="N6" s="46">
        <v>4.5</v>
      </c>
      <c r="O6" s="63" t="s">
        <v>46</v>
      </c>
      <c r="P6" s="63" t="s">
        <v>46</v>
      </c>
      <c r="Q6" s="63" t="s">
        <v>46</v>
      </c>
      <c r="R6" s="46">
        <v>7</v>
      </c>
      <c r="S6" s="46">
        <v>6</v>
      </c>
      <c r="T6" s="46">
        <v>7</v>
      </c>
      <c r="U6" s="46">
        <v>5.5</v>
      </c>
      <c r="V6" s="46">
        <v>5.5</v>
      </c>
      <c r="W6" s="46">
        <v>5.5</v>
      </c>
      <c r="X6" s="46">
        <v>4.5</v>
      </c>
      <c r="Y6" s="46">
        <v>4.5</v>
      </c>
      <c r="Z6" s="46">
        <v>4.5</v>
      </c>
      <c r="AA6" s="46">
        <v>4.5</v>
      </c>
      <c r="AB6" s="46">
        <v>4.5</v>
      </c>
      <c r="AC6" s="46">
        <v>4.5</v>
      </c>
      <c r="AD6" s="46">
        <v>8</v>
      </c>
      <c r="AE6" s="46">
        <v>8</v>
      </c>
      <c r="AF6" s="46">
        <v>8</v>
      </c>
      <c r="AG6" s="46">
        <v>3.5</v>
      </c>
      <c r="AH6" s="46">
        <v>4</v>
      </c>
      <c r="AI6" s="46">
        <v>4</v>
      </c>
      <c r="AJ6" s="46">
        <v>5.5</v>
      </c>
      <c r="AK6" s="46">
        <v>5.5</v>
      </c>
      <c r="AL6" s="46">
        <v>5.5</v>
      </c>
      <c r="AM6" s="46">
        <v>6.5</v>
      </c>
      <c r="AN6" s="46">
        <v>6.5</v>
      </c>
      <c r="AO6" s="46">
        <v>6.5</v>
      </c>
      <c r="AP6" s="46">
        <v>7.5</v>
      </c>
      <c r="AQ6" s="46">
        <v>7.5</v>
      </c>
      <c r="AR6" s="46">
        <v>7.5</v>
      </c>
      <c r="AS6" s="46">
        <v>7.5</v>
      </c>
      <c r="AT6" s="46">
        <v>7.5</v>
      </c>
      <c r="AU6" s="46">
        <v>7.5</v>
      </c>
      <c r="AV6" s="46">
        <v>5.5</v>
      </c>
      <c r="AW6" s="46">
        <v>5.5</v>
      </c>
      <c r="AX6" s="46">
        <v>5.5</v>
      </c>
      <c r="AY6" s="46">
        <v>5</v>
      </c>
      <c r="AZ6" s="46">
        <v>5</v>
      </c>
      <c r="BA6" s="46">
        <v>5</v>
      </c>
      <c r="BB6" s="46">
        <v>7.5</v>
      </c>
      <c r="BC6" s="46">
        <v>7.5</v>
      </c>
      <c r="BD6" s="46">
        <v>7.5</v>
      </c>
      <c r="BE6" s="46">
        <v>7.5</v>
      </c>
      <c r="BF6" s="46">
        <v>7</v>
      </c>
      <c r="BG6" s="46">
        <v>7.5</v>
      </c>
      <c r="BH6" s="46">
        <v>6.5</v>
      </c>
      <c r="BI6" s="46">
        <v>6.5</v>
      </c>
      <c r="BJ6" s="46">
        <v>6</v>
      </c>
      <c r="BK6" s="46">
        <v>7</v>
      </c>
      <c r="BL6" s="46">
        <v>7</v>
      </c>
      <c r="BM6" s="46">
        <v>7</v>
      </c>
    </row>
    <row r="7" spans="2:65" x14ac:dyDescent="0.2">
      <c r="B7" s="6" t="s">
        <v>4</v>
      </c>
      <c r="C7" s="46">
        <v>4.5</v>
      </c>
      <c r="D7" s="46">
        <v>4.5</v>
      </c>
      <c r="E7" s="46">
        <v>5</v>
      </c>
      <c r="F7" s="46">
        <v>3</v>
      </c>
      <c r="G7" s="46">
        <v>3</v>
      </c>
      <c r="H7" s="46">
        <v>3</v>
      </c>
      <c r="I7" s="46">
        <v>8</v>
      </c>
      <c r="J7" s="46">
        <v>7</v>
      </c>
      <c r="K7" s="46">
        <v>7</v>
      </c>
      <c r="L7" s="46">
        <v>1</v>
      </c>
      <c r="M7" s="46">
        <v>1</v>
      </c>
      <c r="N7" s="46">
        <v>1</v>
      </c>
      <c r="O7" s="46">
        <v>7</v>
      </c>
      <c r="P7" s="46">
        <v>7</v>
      </c>
      <c r="Q7" s="46">
        <v>7</v>
      </c>
      <c r="R7" s="46">
        <v>3</v>
      </c>
      <c r="S7" s="46">
        <v>3</v>
      </c>
      <c r="T7" s="46">
        <v>3</v>
      </c>
      <c r="U7" s="46">
        <v>3</v>
      </c>
      <c r="V7" s="46">
        <v>3</v>
      </c>
      <c r="W7" s="46">
        <v>3</v>
      </c>
      <c r="X7" s="46">
        <v>5</v>
      </c>
      <c r="Y7" s="46">
        <v>5.5</v>
      </c>
      <c r="Z7" s="46">
        <v>5.5</v>
      </c>
      <c r="AA7" s="46">
        <v>7</v>
      </c>
      <c r="AB7" s="46">
        <v>7.5</v>
      </c>
      <c r="AC7" s="46">
        <v>7</v>
      </c>
      <c r="AD7" s="46">
        <v>5</v>
      </c>
      <c r="AE7" s="46">
        <v>5</v>
      </c>
      <c r="AF7" s="46">
        <v>5</v>
      </c>
      <c r="AG7" s="46">
        <v>4.5</v>
      </c>
      <c r="AH7" s="46">
        <v>5.5</v>
      </c>
      <c r="AI7" s="46">
        <v>4.5</v>
      </c>
      <c r="AJ7" s="46">
        <v>3</v>
      </c>
      <c r="AK7" s="46">
        <v>3</v>
      </c>
      <c r="AL7" s="46">
        <v>3</v>
      </c>
      <c r="AM7" s="46">
        <v>3</v>
      </c>
      <c r="AN7" s="46">
        <v>3</v>
      </c>
      <c r="AO7" s="46">
        <v>3</v>
      </c>
      <c r="AP7" s="46">
        <v>3</v>
      </c>
      <c r="AQ7" s="46">
        <v>3</v>
      </c>
      <c r="AR7" s="46">
        <v>3</v>
      </c>
      <c r="AS7" s="46">
        <v>4</v>
      </c>
      <c r="AT7" s="46">
        <v>4</v>
      </c>
      <c r="AU7" s="46">
        <v>3.5</v>
      </c>
      <c r="AV7" s="46">
        <v>7</v>
      </c>
      <c r="AW7" s="46">
        <v>7</v>
      </c>
      <c r="AX7" s="46">
        <v>7</v>
      </c>
      <c r="AY7" s="46">
        <v>3</v>
      </c>
      <c r="AZ7" s="46">
        <v>3</v>
      </c>
      <c r="BA7" s="46">
        <v>3</v>
      </c>
      <c r="BB7" s="46">
        <v>3.5</v>
      </c>
      <c r="BC7" s="46">
        <v>3.5</v>
      </c>
      <c r="BD7" s="46">
        <v>3.5</v>
      </c>
      <c r="BE7" s="46">
        <v>4</v>
      </c>
      <c r="BF7" s="46">
        <v>4</v>
      </c>
      <c r="BG7" s="46">
        <v>4</v>
      </c>
      <c r="BH7" s="46">
        <v>3</v>
      </c>
      <c r="BI7" s="46">
        <v>3</v>
      </c>
      <c r="BJ7" s="46">
        <v>3</v>
      </c>
      <c r="BK7" s="46">
        <v>2</v>
      </c>
      <c r="BL7" s="46">
        <v>2</v>
      </c>
      <c r="BM7" s="46">
        <v>2</v>
      </c>
    </row>
    <row r="8" spans="2:65" x14ac:dyDescent="0.2">
      <c r="B8" s="7" t="s">
        <v>5</v>
      </c>
      <c r="C8" s="46">
        <v>6.5</v>
      </c>
      <c r="D8" s="46">
        <v>7</v>
      </c>
      <c r="E8" s="46">
        <v>7</v>
      </c>
      <c r="F8" s="46">
        <v>7.5</v>
      </c>
      <c r="G8" s="46">
        <v>7.5</v>
      </c>
      <c r="H8" s="46">
        <v>7.5</v>
      </c>
      <c r="I8" s="46">
        <v>4</v>
      </c>
      <c r="J8" s="46">
        <v>4</v>
      </c>
      <c r="K8" s="46">
        <v>4</v>
      </c>
      <c r="L8" s="46">
        <v>5.5</v>
      </c>
      <c r="M8" s="46">
        <v>6.5</v>
      </c>
      <c r="N8" s="46">
        <v>6.5</v>
      </c>
      <c r="O8" s="46">
        <v>1</v>
      </c>
      <c r="P8" s="46">
        <v>1</v>
      </c>
      <c r="Q8" s="46">
        <v>1</v>
      </c>
      <c r="R8" s="46">
        <v>7.5</v>
      </c>
      <c r="S8" s="46">
        <v>7.5</v>
      </c>
      <c r="T8" s="46">
        <v>7.5</v>
      </c>
      <c r="U8" s="46">
        <v>6.5</v>
      </c>
      <c r="V8" s="46">
        <v>6</v>
      </c>
      <c r="W8" s="46">
        <v>6</v>
      </c>
      <c r="X8" s="46">
        <v>6</v>
      </c>
      <c r="Y8" s="46">
        <v>6</v>
      </c>
      <c r="Z8" s="46">
        <v>6</v>
      </c>
      <c r="AA8" s="46">
        <v>7.5</v>
      </c>
      <c r="AB8" s="46">
        <v>7.5</v>
      </c>
      <c r="AC8" s="46">
        <v>7.5</v>
      </c>
      <c r="AD8" s="46">
        <v>6</v>
      </c>
      <c r="AE8" s="46">
        <v>6</v>
      </c>
      <c r="AF8" s="46">
        <v>6</v>
      </c>
      <c r="AG8" s="46">
        <v>6.5</v>
      </c>
      <c r="AH8" s="46">
        <v>6</v>
      </c>
      <c r="AI8" s="46">
        <v>6.5</v>
      </c>
      <c r="AJ8" s="46">
        <v>6.5</v>
      </c>
      <c r="AK8" s="46">
        <v>6</v>
      </c>
      <c r="AL8" s="46">
        <v>6</v>
      </c>
      <c r="AM8" s="46">
        <v>6.5</v>
      </c>
      <c r="AN8" s="46">
        <v>6.5</v>
      </c>
      <c r="AO8" s="46">
        <v>6.5</v>
      </c>
      <c r="AP8" s="46">
        <v>8</v>
      </c>
      <c r="AQ8" s="46">
        <v>8</v>
      </c>
      <c r="AR8" s="46">
        <v>8.5</v>
      </c>
      <c r="AS8" s="46">
        <v>6.5</v>
      </c>
      <c r="AT8" s="46">
        <v>7</v>
      </c>
      <c r="AU8" s="46">
        <v>7</v>
      </c>
      <c r="AV8" s="46">
        <v>6</v>
      </c>
      <c r="AW8" s="46">
        <v>6</v>
      </c>
      <c r="AX8" s="46">
        <v>6</v>
      </c>
      <c r="AY8" s="46">
        <v>6</v>
      </c>
      <c r="AZ8" s="46">
        <v>6</v>
      </c>
      <c r="BA8" s="46">
        <v>6</v>
      </c>
      <c r="BB8" s="46">
        <v>7</v>
      </c>
      <c r="BC8" s="46">
        <v>7</v>
      </c>
      <c r="BD8" s="46">
        <v>7</v>
      </c>
      <c r="BE8" s="46">
        <v>8.5</v>
      </c>
      <c r="BF8" s="46">
        <v>8.5</v>
      </c>
      <c r="BG8" s="46">
        <v>8.5</v>
      </c>
      <c r="BH8" s="46">
        <v>7</v>
      </c>
      <c r="BI8" s="46">
        <v>7</v>
      </c>
      <c r="BJ8" s="46">
        <v>7</v>
      </c>
      <c r="BK8" s="46">
        <v>6.5</v>
      </c>
      <c r="BL8" s="46">
        <v>7</v>
      </c>
      <c r="BM8" s="46">
        <v>7</v>
      </c>
    </row>
    <row r="9" spans="2:65" x14ac:dyDescent="0.2">
      <c r="B9" s="8" t="s">
        <v>6</v>
      </c>
      <c r="C9" s="47">
        <v>4</v>
      </c>
      <c r="D9" s="47">
        <v>4.5</v>
      </c>
      <c r="E9" s="47">
        <v>4.5</v>
      </c>
      <c r="F9" s="47">
        <v>4</v>
      </c>
      <c r="G9" s="47">
        <v>3</v>
      </c>
      <c r="H9" s="47">
        <v>3</v>
      </c>
      <c r="I9" s="47">
        <v>9</v>
      </c>
      <c r="J9" s="47"/>
      <c r="K9" s="47">
        <v>9</v>
      </c>
      <c r="L9" s="47">
        <v>3.5</v>
      </c>
      <c r="M9" s="47">
        <v>4</v>
      </c>
      <c r="N9" s="47">
        <v>4.5</v>
      </c>
      <c r="O9" s="47">
        <v>6</v>
      </c>
      <c r="P9" s="47">
        <v>6</v>
      </c>
      <c r="Q9" s="47">
        <v>6</v>
      </c>
      <c r="R9" s="47">
        <v>3.5</v>
      </c>
      <c r="S9" s="47">
        <v>3</v>
      </c>
      <c r="T9" s="47">
        <v>3</v>
      </c>
      <c r="U9" s="47">
        <v>4</v>
      </c>
      <c r="V9" s="47">
        <v>4</v>
      </c>
      <c r="W9" s="47">
        <v>4</v>
      </c>
      <c r="X9" s="47">
        <v>7</v>
      </c>
      <c r="Y9" s="47">
        <v>7</v>
      </c>
      <c r="Z9" s="47">
        <v>7</v>
      </c>
      <c r="AA9" s="47">
        <v>7</v>
      </c>
      <c r="AB9" s="47">
        <v>6</v>
      </c>
      <c r="AC9" s="47">
        <v>6</v>
      </c>
      <c r="AD9" s="47">
        <v>7</v>
      </c>
      <c r="AE9" s="47">
        <v>7</v>
      </c>
      <c r="AF9" s="47">
        <v>8</v>
      </c>
      <c r="AG9" s="47">
        <v>7</v>
      </c>
      <c r="AH9" s="47">
        <v>7.5</v>
      </c>
      <c r="AI9" s="47">
        <v>7</v>
      </c>
      <c r="AJ9" s="47">
        <v>3</v>
      </c>
      <c r="AK9" s="47">
        <v>4</v>
      </c>
      <c r="AL9" s="47">
        <v>4</v>
      </c>
      <c r="AM9" s="47">
        <v>4.5</v>
      </c>
      <c r="AN9" s="47">
        <v>4</v>
      </c>
      <c r="AO9" s="47">
        <v>4.5</v>
      </c>
      <c r="AP9" s="47">
        <v>4.5</v>
      </c>
      <c r="AQ9" s="47">
        <v>3.5</v>
      </c>
      <c r="AR9" s="47">
        <v>4</v>
      </c>
      <c r="AS9" s="47">
        <v>4.5</v>
      </c>
      <c r="AT9" s="47">
        <v>4</v>
      </c>
      <c r="AU9" s="47">
        <v>4.5</v>
      </c>
      <c r="AV9" s="47">
        <v>6</v>
      </c>
      <c r="AW9" s="47">
        <v>6.5</v>
      </c>
      <c r="AX9" s="47">
        <v>6</v>
      </c>
      <c r="AY9" s="47">
        <v>4</v>
      </c>
      <c r="AZ9" s="47">
        <v>4</v>
      </c>
      <c r="BA9" s="47">
        <v>4</v>
      </c>
      <c r="BB9" s="47">
        <v>4.5</v>
      </c>
      <c r="BC9" s="47">
        <v>4.5</v>
      </c>
      <c r="BD9" s="47">
        <v>4.5</v>
      </c>
      <c r="BE9" s="47">
        <v>4.5</v>
      </c>
      <c r="BF9" s="47">
        <v>4.5</v>
      </c>
      <c r="BG9" s="47">
        <v>4.5</v>
      </c>
      <c r="BH9" s="47">
        <v>2</v>
      </c>
      <c r="BI9" s="47">
        <v>3</v>
      </c>
      <c r="BJ9" s="47">
        <v>3</v>
      </c>
      <c r="BK9" s="47">
        <v>6</v>
      </c>
      <c r="BL9" s="47">
        <v>6</v>
      </c>
      <c r="BM9" s="47">
        <v>5</v>
      </c>
    </row>
    <row r="10" spans="2:65" x14ac:dyDescent="0.2">
      <c r="B10" s="49" t="s">
        <v>7</v>
      </c>
      <c r="C10" s="46">
        <v>5.5</v>
      </c>
      <c r="D10" s="46">
        <v>5.5</v>
      </c>
      <c r="E10" s="46">
        <v>5.5</v>
      </c>
      <c r="F10" s="46">
        <v>6</v>
      </c>
      <c r="G10" s="46">
        <v>5.5</v>
      </c>
      <c r="H10" s="46">
        <v>5.5</v>
      </c>
      <c r="I10" s="46">
        <v>5</v>
      </c>
      <c r="J10" s="46">
        <v>5</v>
      </c>
      <c r="K10" s="46">
        <v>5</v>
      </c>
      <c r="L10" s="46">
        <v>5.5</v>
      </c>
      <c r="M10" s="46">
        <v>5.5</v>
      </c>
      <c r="N10" s="46">
        <v>5.5</v>
      </c>
      <c r="O10" s="46">
        <v>4</v>
      </c>
      <c r="P10" s="46">
        <v>4</v>
      </c>
      <c r="Q10" s="46">
        <v>4</v>
      </c>
      <c r="R10" s="46">
        <v>4.5</v>
      </c>
      <c r="S10" s="46">
        <v>4</v>
      </c>
      <c r="T10" s="46">
        <v>4.5</v>
      </c>
      <c r="U10" s="46">
        <v>4</v>
      </c>
      <c r="V10" s="46">
        <v>4</v>
      </c>
      <c r="W10" s="46">
        <v>4</v>
      </c>
      <c r="X10" s="46">
        <v>6.5</v>
      </c>
      <c r="Y10" s="46">
        <v>6.5</v>
      </c>
      <c r="Z10" s="46">
        <v>6.5</v>
      </c>
      <c r="AA10" s="46">
        <v>7.5</v>
      </c>
      <c r="AB10" s="46">
        <v>8</v>
      </c>
      <c r="AC10" s="46">
        <v>8</v>
      </c>
      <c r="AD10" s="46">
        <v>5</v>
      </c>
      <c r="AE10" s="46">
        <v>5</v>
      </c>
      <c r="AF10" s="46">
        <v>5</v>
      </c>
      <c r="AG10" s="46">
        <v>6</v>
      </c>
      <c r="AH10" s="46">
        <v>6</v>
      </c>
      <c r="AI10" s="46">
        <v>5.5</v>
      </c>
      <c r="AJ10" s="46">
        <v>4</v>
      </c>
      <c r="AK10" s="46">
        <v>4</v>
      </c>
      <c r="AL10" s="46">
        <v>4</v>
      </c>
      <c r="AM10" s="46">
        <v>3.5</v>
      </c>
      <c r="AN10" s="46">
        <v>3.5</v>
      </c>
      <c r="AO10" s="46">
        <v>3.5</v>
      </c>
      <c r="AP10" s="46">
        <v>5.5</v>
      </c>
      <c r="AQ10" s="46">
        <v>5.5</v>
      </c>
      <c r="AR10" s="46">
        <v>5.5</v>
      </c>
      <c r="AS10" s="46">
        <v>4.5</v>
      </c>
      <c r="AT10" s="46">
        <v>4.5</v>
      </c>
      <c r="AU10" s="46">
        <v>4.5</v>
      </c>
      <c r="AV10" s="46">
        <v>4</v>
      </c>
      <c r="AW10" s="46">
        <v>4.5</v>
      </c>
      <c r="AX10" s="46">
        <v>4.5</v>
      </c>
      <c r="AY10" s="46">
        <v>4.5</v>
      </c>
      <c r="AZ10" s="46">
        <v>4</v>
      </c>
      <c r="BA10" s="46">
        <v>4.5</v>
      </c>
      <c r="BB10" s="46">
        <v>6</v>
      </c>
      <c r="BC10" s="46">
        <v>4.5</v>
      </c>
      <c r="BD10" s="46">
        <v>4.5</v>
      </c>
      <c r="BE10" s="46">
        <v>5.5</v>
      </c>
      <c r="BF10" s="46">
        <v>5.5</v>
      </c>
      <c r="BG10" s="46">
        <v>5.5</v>
      </c>
      <c r="BH10" s="46">
        <v>6.5</v>
      </c>
      <c r="BI10" s="46">
        <v>6</v>
      </c>
      <c r="BJ10" s="46">
        <v>6</v>
      </c>
      <c r="BK10" s="46">
        <v>5</v>
      </c>
      <c r="BL10" s="46">
        <v>5</v>
      </c>
      <c r="BM10" s="46">
        <v>5</v>
      </c>
    </row>
    <row r="11" spans="2:65" x14ac:dyDescent="0.2">
      <c r="B11" s="50" t="s">
        <v>8</v>
      </c>
      <c r="C11" s="46">
        <v>1</v>
      </c>
      <c r="D11" s="46">
        <v>1</v>
      </c>
      <c r="E11" s="46">
        <v>1</v>
      </c>
      <c r="F11" s="46">
        <v>1</v>
      </c>
      <c r="G11" s="46">
        <v>1</v>
      </c>
      <c r="H11" s="46">
        <v>1</v>
      </c>
      <c r="I11" s="46">
        <v>2</v>
      </c>
      <c r="J11" s="46">
        <v>2</v>
      </c>
      <c r="K11" s="46">
        <v>2</v>
      </c>
      <c r="L11" s="46">
        <v>1.5</v>
      </c>
      <c r="M11" s="46">
        <v>2.5</v>
      </c>
      <c r="N11" s="46">
        <v>2.5</v>
      </c>
      <c r="O11" s="46">
        <v>2</v>
      </c>
      <c r="P11" s="46">
        <v>2</v>
      </c>
      <c r="Q11" s="46">
        <v>2</v>
      </c>
      <c r="R11" s="63">
        <f>MEDIAN(S11:T11)</f>
        <v>4</v>
      </c>
      <c r="S11" s="46">
        <v>3.5</v>
      </c>
      <c r="T11" s="46">
        <v>4.5</v>
      </c>
      <c r="U11" s="46">
        <v>4.5</v>
      </c>
      <c r="V11" s="46">
        <v>4.5</v>
      </c>
      <c r="W11" s="46">
        <v>4.5</v>
      </c>
      <c r="X11" s="46">
        <v>4.5</v>
      </c>
      <c r="Y11" s="46">
        <v>5.5</v>
      </c>
      <c r="Z11" s="46">
        <v>4.5</v>
      </c>
      <c r="AA11" s="46">
        <v>5</v>
      </c>
      <c r="AB11" s="46">
        <v>4.5</v>
      </c>
      <c r="AC11" s="46">
        <v>4.5</v>
      </c>
      <c r="AD11" s="46">
        <v>4</v>
      </c>
      <c r="AE11" s="46">
        <v>5</v>
      </c>
      <c r="AF11" s="46">
        <v>5</v>
      </c>
      <c r="AG11" s="46">
        <v>5.5</v>
      </c>
      <c r="AH11" s="46">
        <v>5.5</v>
      </c>
      <c r="AI11" s="46">
        <v>5.5</v>
      </c>
      <c r="AJ11" s="46">
        <v>5.5</v>
      </c>
      <c r="AK11" s="46">
        <v>6.5</v>
      </c>
      <c r="AL11" s="46">
        <v>6.5</v>
      </c>
      <c r="AM11" s="46">
        <v>6.5</v>
      </c>
      <c r="AN11" s="46">
        <v>6.5</v>
      </c>
      <c r="AO11" s="46">
        <v>6.5</v>
      </c>
      <c r="AP11" s="46">
        <v>6.5</v>
      </c>
      <c r="AQ11" s="46">
        <v>6.5</v>
      </c>
      <c r="AR11" s="46">
        <v>6.5</v>
      </c>
      <c r="AS11" s="46">
        <v>6.5</v>
      </c>
      <c r="AT11" s="46">
        <v>6.5</v>
      </c>
      <c r="AU11" s="46">
        <v>6.5</v>
      </c>
      <c r="AV11" s="46">
        <v>7</v>
      </c>
      <c r="AW11" s="46">
        <v>7</v>
      </c>
      <c r="AX11" s="46">
        <v>6.5</v>
      </c>
      <c r="AY11" s="46">
        <v>7</v>
      </c>
      <c r="AZ11" s="46">
        <v>7</v>
      </c>
      <c r="BA11" s="46">
        <v>7.5</v>
      </c>
      <c r="BB11" s="46">
        <v>7</v>
      </c>
      <c r="BC11" s="46">
        <v>6.5</v>
      </c>
      <c r="BD11" s="46">
        <v>7</v>
      </c>
      <c r="BE11" s="46">
        <v>7.5</v>
      </c>
      <c r="BF11" s="46">
        <v>7.5</v>
      </c>
      <c r="BG11" s="46">
        <v>8.5</v>
      </c>
      <c r="BH11" s="46">
        <v>8</v>
      </c>
      <c r="BI11" s="46">
        <v>8</v>
      </c>
      <c r="BJ11" s="46">
        <v>8</v>
      </c>
      <c r="BK11" s="46">
        <v>9</v>
      </c>
      <c r="BL11" s="46">
        <v>9</v>
      </c>
      <c r="BM11" s="46">
        <v>9</v>
      </c>
    </row>
    <row r="12" spans="2:65" x14ac:dyDescent="0.2">
      <c r="B12" s="51" t="s">
        <v>9</v>
      </c>
      <c r="C12" s="46">
        <v>5</v>
      </c>
      <c r="D12" s="63"/>
      <c r="E12" s="46">
        <v>5</v>
      </c>
      <c r="F12" s="46">
        <v>5</v>
      </c>
      <c r="G12" s="46">
        <v>5</v>
      </c>
      <c r="H12" s="46">
        <v>4</v>
      </c>
      <c r="I12" s="46">
        <v>5</v>
      </c>
      <c r="J12" s="46">
        <v>5</v>
      </c>
      <c r="K12" s="46">
        <v>5</v>
      </c>
      <c r="L12" s="46">
        <v>6</v>
      </c>
      <c r="M12" s="46">
        <v>6</v>
      </c>
      <c r="N12" s="46">
        <v>6</v>
      </c>
      <c r="O12" s="46">
        <v>5</v>
      </c>
      <c r="P12" s="46">
        <v>5</v>
      </c>
      <c r="Q12" s="46">
        <v>4</v>
      </c>
      <c r="R12" s="46">
        <v>4</v>
      </c>
      <c r="S12" s="46">
        <v>5</v>
      </c>
      <c r="T12" s="46">
        <v>4</v>
      </c>
      <c r="U12" s="46">
        <v>5</v>
      </c>
      <c r="V12" s="46">
        <v>5</v>
      </c>
      <c r="W12" s="46">
        <v>5</v>
      </c>
      <c r="X12" s="46">
        <v>5</v>
      </c>
      <c r="Y12" s="46">
        <v>4</v>
      </c>
      <c r="Z12" s="46">
        <v>4</v>
      </c>
      <c r="AA12" s="46">
        <v>4</v>
      </c>
      <c r="AB12" s="46">
        <v>4</v>
      </c>
      <c r="AC12" s="46">
        <v>4</v>
      </c>
      <c r="AD12" s="46">
        <v>5</v>
      </c>
      <c r="AE12" s="46">
        <v>5</v>
      </c>
      <c r="AF12" s="46">
        <v>5</v>
      </c>
      <c r="AG12" s="46">
        <v>4</v>
      </c>
      <c r="AH12" s="46">
        <v>4</v>
      </c>
      <c r="AI12" s="46">
        <v>4</v>
      </c>
      <c r="AJ12" s="46">
        <v>5</v>
      </c>
      <c r="AK12" s="46">
        <v>5</v>
      </c>
      <c r="AL12" s="46">
        <v>5</v>
      </c>
      <c r="AM12" s="46">
        <v>5</v>
      </c>
      <c r="AN12" s="46">
        <v>5</v>
      </c>
      <c r="AO12" s="46">
        <v>4</v>
      </c>
      <c r="AP12" s="46">
        <v>4</v>
      </c>
      <c r="AQ12" s="46">
        <v>5</v>
      </c>
      <c r="AR12" s="46">
        <v>4</v>
      </c>
      <c r="AS12" s="46">
        <v>5</v>
      </c>
      <c r="AT12" s="46">
        <v>5</v>
      </c>
      <c r="AU12" s="46">
        <v>4</v>
      </c>
      <c r="AV12" s="46">
        <v>4</v>
      </c>
      <c r="AW12" s="46">
        <v>4</v>
      </c>
      <c r="AX12" s="46">
        <v>4</v>
      </c>
      <c r="AY12" s="46">
        <v>5</v>
      </c>
      <c r="AZ12" s="46">
        <v>5</v>
      </c>
      <c r="BA12" s="46">
        <v>4</v>
      </c>
      <c r="BB12" s="46">
        <v>5</v>
      </c>
      <c r="BC12" s="46">
        <v>5</v>
      </c>
      <c r="BD12" s="46">
        <v>5</v>
      </c>
      <c r="BE12" s="46">
        <v>5</v>
      </c>
      <c r="BF12" s="46">
        <v>5</v>
      </c>
      <c r="BG12" s="46">
        <v>4.5</v>
      </c>
      <c r="BH12" s="46">
        <v>5</v>
      </c>
      <c r="BI12" s="46">
        <v>5</v>
      </c>
      <c r="BJ12" s="46">
        <v>5</v>
      </c>
      <c r="BK12" s="46">
        <v>4</v>
      </c>
      <c r="BL12" s="46">
        <v>4</v>
      </c>
      <c r="BM12" s="46">
        <v>4</v>
      </c>
    </row>
    <row r="13" spans="2:65" x14ac:dyDescent="0.2">
      <c r="B13" s="52" t="s">
        <v>10</v>
      </c>
      <c r="C13" s="46">
        <v>5.5</v>
      </c>
      <c r="D13" s="46">
        <v>5.5</v>
      </c>
      <c r="E13" s="46">
        <v>5.5</v>
      </c>
      <c r="F13" s="46">
        <v>5</v>
      </c>
      <c r="G13" s="46">
        <v>5</v>
      </c>
      <c r="H13" s="46">
        <v>5</v>
      </c>
      <c r="I13" s="46">
        <v>4</v>
      </c>
      <c r="J13" s="46">
        <v>4</v>
      </c>
      <c r="K13" s="46">
        <v>4</v>
      </c>
      <c r="L13" s="46">
        <v>5.5</v>
      </c>
      <c r="M13" s="46">
        <v>5.5</v>
      </c>
      <c r="N13" s="46">
        <v>5.5</v>
      </c>
      <c r="O13" s="46">
        <v>4</v>
      </c>
      <c r="P13" s="46">
        <v>4</v>
      </c>
      <c r="Q13" s="46">
        <v>4</v>
      </c>
      <c r="R13" s="46">
        <v>5</v>
      </c>
      <c r="S13" s="46">
        <v>5</v>
      </c>
      <c r="T13" s="46">
        <v>5</v>
      </c>
      <c r="U13" s="46">
        <v>5</v>
      </c>
      <c r="V13" s="46">
        <v>5</v>
      </c>
      <c r="W13" s="46">
        <v>5</v>
      </c>
      <c r="X13" s="46">
        <v>4.5</v>
      </c>
      <c r="Y13" s="46">
        <v>5</v>
      </c>
      <c r="Z13" s="46">
        <v>5</v>
      </c>
      <c r="AA13" s="46">
        <v>5</v>
      </c>
      <c r="AB13" s="46">
        <v>5</v>
      </c>
      <c r="AC13" s="46">
        <v>5</v>
      </c>
      <c r="AD13" s="46">
        <v>5</v>
      </c>
      <c r="AE13" s="46">
        <v>5</v>
      </c>
      <c r="AF13" s="46">
        <v>5</v>
      </c>
      <c r="AG13" s="46">
        <v>5</v>
      </c>
      <c r="AH13" s="46">
        <v>5</v>
      </c>
      <c r="AI13" s="46">
        <v>4</v>
      </c>
      <c r="AJ13" s="46">
        <v>4</v>
      </c>
      <c r="AK13" s="46">
        <v>5</v>
      </c>
      <c r="AL13" s="46">
        <v>5</v>
      </c>
      <c r="AM13" s="46">
        <v>4</v>
      </c>
      <c r="AN13" s="46">
        <v>4.5</v>
      </c>
      <c r="AO13" s="46">
        <v>4</v>
      </c>
      <c r="AP13" s="46">
        <v>6</v>
      </c>
      <c r="AQ13" s="46">
        <v>5</v>
      </c>
      <c r="AR13" s="46">
        <v>5</v>
      </c>
      <c r="AS13" s="46">
        <v>5</v>
      </c>
      <c r="AT13" s="46">
        <v>5</v>
      </c>
      <c r="AU13" s="46">
        <v>5</v>
      </c>
      <c r="AV13" s="46">
        <v>3</v>
      </c>
      <c r="AW13" s="46">
        <v>3</v>
      </c>
      <c r="AX13" s="46">
        <v>3</v>
      </c>
      <c r="AY13" s="46">
        <v>5</v>
      </c>
      <c r="AZ13" s="46">
        <v>5</v>
      </c>
      <c r="BA13" s="46">
        <v>5</v>
      </c>
      <c r="BB13" s="46">
        <v>6</v>
      </c>
      <c r="BC13" s="46">
        <v>6</v>
      </c>
      <c r="BD13" s="46">
        <v>6</v>
      </c>
      <c r="BE13" s="46">
        <v>6.5</v>
      </c>
      <c r="BF13" s="46">
        <v>6.5</v>
      </c>
      <c r="BG13" s="46">
        <v>6.5</v>
      </c>
      <c r="BH13" s="46">
        <v>5</v>
      </c>
      <c r="BI13" s="46">
        <v>5</v>
      </c>
      <c r="BJ13" s="46">
        <v>5</v>
      </c>
      <c r="BK13" s="46">
        <v>6</v>
      </c>
      <c r="BL13" s="46">
        <v>6</v>
      </c>
      <c r="BM13" s="46">
        <v>6</v>
      </c>
    </row>
    <row r="14" spans="2:65" x14ac:dyDescent="0.2">
      <c r="B14" s="48"/>
    </row>
    <row r="17" spans="2:2" x14ac:dyDescent="0.2">
      <c r="B17" t="s">
        <v>51</v>
      </c>
    </row>
    <row r="18" spans="2:2" x14ac:dyDescent="0.2">
      <c r="B18" t="s">
        <v>52</v>
      </c>
    </row>
  </sheetData>
  <mergeCells count="21">
    <mergeCell ref="AJ1:AL1"/>
    <mergeCell ref="C1:E1"/>
    <mergeCell ref="F1:H1"/>
    <mergeCell ref="I1:K1"/>
    <mergeCell ref="L1:N1"/>
    <mergeCell ref="O1:Q1"/>
    <mergeCell ref="R1:T1"/>
    <mergeCell ref="U1:W1"/>
    <mergeCell ref="X1:Z1"/>
    <mergeCell ref="AA1:AC1"/>
    <mergeCell ref="AD1:AF1"/>
    <mergeCell ref="AG1:AI1"/>
    <mergeCell ref="BE1:BG1"/>
    <mergeCell ref="BH1:BJ1"/>
    <mergeCell ref="BK1:BM1"/>
    <mergeCell ref="AM1:AO1"/>
    <mergeCell ref="AP1:AR1"/>
    <mergeCell ref="AS1:AU1"/>
    <mergeCell ref="AV1:AX1"/>
    <mergeCell ref="AY1:BA1"/>
    <mergeCell ref="BB1:B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2946-5A2D-5545-8448-A3D5CF2C11EB}">
  <dimension ref="C4:O19"/>
  <sheetViews>
    <sheetView workbookViewId="0">
      <selection activeCell="C20" sqref="C20"/>
    </sheetView>
  </sheetViews>
  <sheetFormatPr baseColWidth="10" defaultRowHeight="16" x14ac:dyDescent="0.2"/>
  <cols>
    <col min="3" max="3" width="12.5" bestFit="1" customWidth="1"/>
    <col min="11" max="11" width="12.5" bestFit="1" customWidth="1"/>
    <col min="12" max="12" width="13" bestFit="1" customWidth="1"/>
    <col min="14" max="14" width="12.83203125" bestFit="1" customWidth="1"/>
  </cols>
  <sheetData>
    <row r="4" spans="3:15" x14ac:dyDescent="0.2">
      <c r="C4" s="1"/>
      <c r="D4" s="2" t="s">
        <v>0</v>
      </c>
      <c r="E4" s="3" t="s">
        <v>1</v>
      </c>
      <c r="F4" s="4" t="s">
        <v>2</v>
      </c>
      <c r="G4" s="5" t="s">
        <v>3</v>
      </c>
      <c r="H4" s="6" t="s">
        <v>4</v>
      </c>
      <c r="I4" s="7" t="s">
        <v>5</v>
      </c>
      <c r="J4" s="8" t="s">
        <v>6</v>
      </c>
      <c r="K4" s="9" t="s">
        <v>7</v>
      </c>
      <c r="L4" s="10" t="s">
        <v>8</v>
      </c>
      <c r="M4" s="11" t="s">
        <v>9</v>
      </c>
      <c r="N4" s="12" t="s">
        <v>10</v>
      </c>
      <c r="O4" s="13" t="s">
        <v>11</v>
      </c>
    </row>
    <row r="5" spans="3:15" x14ac:dyDescent="0.2">
      <c r="C5" s="1"/>
      <c r="D5" s="1">
        <v>1</v>
      </c>
      <c r="E5" s="1">
        <v>2</v>
      </c>
      <c r="F5" s="1">
        <v>3</v>
      </c>
      <c r="G5" s="1">
        <v>4</v>
      </c>
      <c r="H5" s="1">
        <v>5</v>
      </c>
      <c r="I5" s="1">
        <v>6</v>
      </c>
      <c r="J5" s="1">
        <v>7</v>
      </c>
      <c r="K5" s="1">
        <v>8</v>
      </c>
      <c r="L5" s="1">
        <v>9</v>
      </c>
      <c r="M5" s="1">
        <v>10</v>
      </c>
      <c r="N5" s="1">
        <v>11</v>
      </c>
      <c r="O5" s="1">
        <v>12</v>
      </c>
    </row>
    <row r="6" spans="3:15" x14ac:dyDescent="0.2">
      <c r="C6" s="1" t="s">
        <v>12</v>
      </c>
      <c r="D6" s="14">
        <v>0.390625</v>
      </c>
      <c r="E6" s="21">
        <v>1.5625</v>
      </c>
      <c r="F6" s="22">
        <v>6.25</v>
      </c>
      <c r="G6" s="23">
        <v>0.78125</v>
      </c>
      <c r="H6" s="24">
        <v>15.625</v>
      </c>
      <c r="I6" s="25">
        <v>64</v>
      </c>
      <c r="J6" s="26">
        <v>62.5</v>
      </c>
      <c r="K6" s="27">
        <v>15.625</v>
      </c>
      <c r="L6" s="28">
        <v>250</v>
      </c>
      <c r="M6" s="29">
        <v>12.5</v>
      </c>
      <c r="N6" s="30">
        <v>250</v>
      </c>
      <c r="O6" s="20" t="s">
        <v>13</v>
      </c>
    </row>
    <row r="7" spans="3:15" x14ac:dyDescent="0.2">
      <c r="C7" s="1" t="s">
        <v>14</v>
      </c>
      <c r="D7" s="14">
        <v>0.1953125</v>
      </c>
      <c r="E7" s="18">
        <v>0.78125</v>
      </c>
      <c r="F7" s="15">
        <v>3.125</v>
      </c>
      <c r="G7" s="23">
        <v>0.390625</v>
      </c>
      <c r="H7" s="24">
        <v>7.8125</v>
      </c>
      <c r="I7" s="25">
        <v>32</v>
      </c>
      <c r="J7" s="31">
        <v>31.25</v>
      </c>
      <c r="K7" s="32">
        <v>7.8125</v>
      </c>
      <c r="L7" s="33">
        <v>125</v>
      </c>
      <c r="M7" s="34">
        <v>6.25</v>
      </c>
      <c r="N7" s="35">
        <v>125</v>
      </c>
      <c r="O7" s="16" t="s">
        <v>13</v>
      </c>
    </row>
    <row r="8" spans="3:15" x14ac:dyDescent="0.2">
      <c r="C8" s="1" t="s">
        <v>15</v>
      </c>
      <c r="D8" s="14">
        <v>9.765625E-2</v>
      </c>
      <c r="E8" s="18">
        <v>0.390625</v>
      </c>
      <c r="F8" s="15">
        <v>1.5625</v>
      </c>
      <c r="G8" s="23">
        <v>0.1953125</v>
      </c>
      <c r="H8" s="24">
        <v>3.90625</v>
      </c>
      <c r="I8" s="25">
        <v>16</v>
      </c>
      <c r="J8" s="31">
        <v>15.625</v>
      </c>
      <c r="K8" s="32">
        <v>3.90625</v>
      </c>
      <c r="L8" s="33">
        <v>62.5</v>
      </c>
      <c r="M8" s="34">
        <v>3.125</v>
      </c>
      <c r="N8" s="35">
        <v>62.5</v>
      </c>
      <c r="O8" s="16" t="s">
        <v>13</v>
      </c>
    </row>
    <row r="9" spans="3:15" x14ac:dyDescent="0.2">
      <c r="C9" s="1" t="s">
        <v>16</v>
      </c>
      <c r="D9" s="14">
        <v>4.8828125E-2</v>
      </c>
      <c r="E9" s="18">
        <v>0.1953125</v>
      </c>
      <c r="F9" s="36">
        <v>0.78125</v>
      </c>
      <c r="G9" s="23">
        <v>9.765625E-2</v>
      </c>
      <c r="H9" s="24">
        <v>1.953125</v>
      </c>
      <c r="I9" s="37">
        <v>8</v>
      </c>
      <c r="J9" s="31">
        <v>7.8125</v>
      </c>
      <c r="K9" s="32">
        <v>1.953125</v>
      </c>
      <c r="L9" s="38">
        <v>31.25</v>
      </c>
      <c r="M9" s="34">
        <v>1.5625</v>
      </c>
      <c r="N9" s="39">
        <v>31.25</v>
      </c>
      <c r="O9" s="16" t="s">
        <v>13</v>
      </c>
    </row>
    <row r="10" spans="3:15" x14ac:dyDescent="0.2">
      <c r="C10" s="1" t="s">
        <v>17</v>
      </c>
      <c r="D10" s="14">
        <v>2.44140625E-2</v>
      </c>
      <c r="E10" s="18">
        <v>9.765625E-2</v>
      </c>
      <c r="F10" s="36">
        <v>0.390625</v>
      </c>
      <c r="G10" s="23">
        <v>4.8828125E-2</v>
      </c>
      <c r="H10" s="24">
        <v>0.9765625</v>
      </c>
      <c r="I10" s="40">
        <v>4</v>
      </c>
      <c r="J10" s="31">
        <v>3.90625</v>
      </c>
      <c r="K10" s="32">
        <v>0.9765625</v>
      </c>
      <c r="L10" s="38">
        <v>15.625</v>
      </c>
      <c r="M10" s="41">
        <v>0.78125</v>
      </c>
      <c r="N10" s="17">
        <v>15.625</v>
      </c>
      <c r="O10" s="16" t="s">
        <v>18</v>
      </c>
    </row>
    <row r="11" spans="3:15" x14ac:dyDescent="0.2">
      <c r="C11" s="1" t="s">
        <v>19</v>
      </c>
      <c r="D11" s="14">
        <v>1.220703125E-2</v>
      </c>
      <c r="E11" s="18">
        <v>4.8828125E-2</v>
      </c>
      <c r="F11" s="36">
        <v>0.1953125</v>
      </c>
      <c r="G11" s="23">
        <v>2.44140625E-2</v>
      </c>
      <c r="H11" s="24">
        <v>0.48828125</v>
      </c>
      <c r="I11" s="40">
        <v>2</v>
      </c>
      <c r="J11" s="19">
        <v>1.953125</v>
      </c>
      <c r="K11" s="42">
        <v>0.48828125</v>
      </c>
      <c r="L11" s="43">
        <v>7.8125</v>
      </c>
      <c r="M11" s="41">
        <v>0.390625</v>
      </c>
      <c r="N11" s="17">
        <v>7.8125</v>
      </c>
      <c r="O11" s="16" t="s">
        <v>18</v>
      </c>
    </row>
    <row r="12" spans="3:15" x14ac:dyDescent="0.2">
      <c r="C12" s="1" t="s">
        <v>20</v>
      </c>
      <c r="D12" s="14">
        <v>6.103515625E-3</v>
      </c>
      <c r="E12" s="18">
        <v>2.44140625E-2</v>
      </c>
      <c r="F12" s="36">
        <v>9.765625E-2</v>
      </c>
      <c r="G12" s="23">
        <v>1.220703125E-2</v>
      </c>
      <c r="H12" s="24">
        <v>0.244140625</v>
      </c>
      <c r="I12" s="40">
        <v>1</v>
      </c>
      <c r="J12" s="19">
        <v>0.9765625</v>
      </c>
      <c r="K12" s="42">
        <v>0.244140625</v>
      </c>
      <c r="L12" s="43">
        <v>3.90625</v>
      </c>
      <c r="M12" s="41">
        <v>0.1953125</v>
      </c>
      <c r="N12" s="17">
        <v>3.90625</v>
      </c>
      <c r="O12" s="16" t="s">
        <v>18</v>
      </c>
    </row>
    <row r="13" spans="3:15" x14ac:dyDescent="0.2">
      <c r="C13" s="1" t="s">
        <v>21</v>
      </c>
      <c r="D13" s="14">
        <v>3.0517578125E-3</v>
      </c>
      <c r="E13" s="18">
        <v>1.220703125E-2</v>
      </c>
      <c r="F13" s="36">
        <v>4.8828125E-2</v>
      </c>
      <c r="G13" s="23">
        <v>6.103515625E-3</v>
      </c>
      <c r="H13" s="44">
        <v>0.1220703125</v>
      </c>
      <c r="I13" s="40">
        <v>0.5</v>
      </c>
      <c r="J13" s="19">
        <v>0.48828125</v>
      </c>
      <c r="K13" s="42">
        <v>0.1220703125</v>
      </c>
      <c r="L13" s="43">
        <v>1.953125</v>
      </c>
      <c r="M13" s="41">
        <v>9.765625E-2</v>
      </c>
      <c r="N13" s="17">
        <v>1.953125</v>
      </c>
      <c r="O13" s="20" t="s">
        <v>18</v>
      </c>
    </row>
    <row r="14" spans="3:15" x14ac:dyDescent="0.2">
      <c r="C14" s="1" t="s">
        <v>45</v>
      </c>
      <c r="D14" s="58">
        <f>D13/2</f>
        <v>1.52587890625E-3</v>
      </c>
      <c r="E14" s="60">
        <f t="shared" ref="E14:N14" si="0">E13/2</f>
        <v>6.103515625E-3</v>
      </c>
      <c r="F14" s="60">
        <f t="shared" si="0"/>
        <v>2.44140625E-2</v>
      </c>
      <c r="G14" s="59">
        <f t="shared" si="0"/>
        <v>3.0517578125E-3</v>
      </c>
      <c r="H14" s="60">
        <f t="shared" si="0"/>
        <v>6.103515625E-2</v>
      </c>
      <c r="I14" s="60">
        <f t="shared" si="0"/>
        <v>0.25</v>
      </c>
      <c r="J14" s="60">
        <f t="shared" si="0"/>
        <v>0.244140625</v>
      </c>
      <c r="K14" s="60">
        <f t="shared" si="0"/>
        <v>6.103515625E-2</v>
      </c>
      <c r="L14" s="60">
        <f t="shared" si="0"/>
        <v>0.9765625</v>
      </c>
      <c r="M14" s="60">
        <f t="shared" si="0"/>
        <v>4.8828125E-2</v>
      </c>
      <c r="N14" s="60">
        <f t="shared" si="0"/>
        <v>0.9765625</v>
      </c>
    </row>
    <row r="19" spans="3:3" x14ac:dyDescent="0.2">
      <c r="C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Median MGCs</vt:lpstr>
      <vt:lpstr>MGCs each plate</vt:lpstr>
      <vt:lpstr>Well calls each plate</vt:lpstr>
      <vt:lpstr>Plate map 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Schock, Sydney</dc:creator>
  <cp:lastModifiedBy>Schock, Sydney</cp:lastModifiedBy>
  <dcterms:created xsi:type="dcterms:W3CDTF">2025-09-11T17:48:18Z</dcterms:created>
  <dcterms:modified xsi:type="dcterms:W3CDTF">2025-10-02T19:52:04Z</dcterms:modified>
</cp:coreProperties>
</file>