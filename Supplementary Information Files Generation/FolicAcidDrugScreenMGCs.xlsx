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fileSharing readOnlyRecommended="1"/>
  <workbookPr defaultThemeVersion="202300"/>
  <mc:AlternateContent xmlns:mc="http://schemas.openxmlformats.org/markup-compatibility/2006">
    <mc:Choice Requires="x15">
      <x15ac:absPath xmlns:x15ac="http://schemas.microsoft.com/office/spreadsheetml/2010/11/ac" url="/Users/sydneyschock/UMass Medical School Dropbox/Sydney Schock/Mitchell Lab/LabMembers/SydneyS/Resistome screens/Finalized Analysis Pipelines/MGC calculation records/Folic Acid Screen/"/>
    </mc:Choice>
  </mc:AlternateContent>
  <xr:revisionPtr revIDLastSave="0" documentId="13_ncr:1_{3371C969-00A0-4B45-9050-2D9A1241827A}" xr6:coauthVersionLast="47" xr6:coauthVersionMax="47" xr10:uidLastSave="{00000000-0000-0000-0000-000000000000}"/>
  <bookViews>
    <workbookView xWindow="2580" yWindow="500" windowWidth="23440" windowHeight="17500" xr2:uid="{413237C3-86A6-4C42-8196-0C85CF7D6ED2}"/>
  </bookViews>
  <sheets>
    <sheet name="Median MGCs" sheetId="1" r:id="rId1"/>
    <sheet name="MGCs each plate" sheetId="2" r:id="rId2"/>
    <sheet name="Well calls each plate" sheetId="3" r:id="rId3"/>
    <sheet name="Plate map ke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F5" i="4" s="1"/>
  <c r="G5" i="4" s="1"/>
  <c r="H5" i="4" s="1"/>
  <c r="I5" i="4" s="1"/>
  <c r="J5" i="4" s="1"/>
  <c r="K5" i="4" s="1"/>
  <c r="L5" i="4" s="1"/>
  <c r="M5" i="4" s="1"/>
  <c r="N5" i="4" s="1"/>
  <c r="O5" i="4" s="1"/>
  <c r="P5" i="4" s="1"/>
  <c r="E9" i="4"/>
  <c r="F9" i="4" s="1"/>
  <c r="G9" i="4" s="1"/>
  <c r="H9" i="4" s="1"/>
  <c r="I9" i="4" s="1"/>
  <c r="J9" i="4" s="1"/>
  <c r="K9" i="4" s="1"/>
  <c r="L9" i="4" s="1"/>
  <c r="M9" i="4" s="1"/>
  <c r="N9" i="4" s="1"/>
  <c r="O9" i="4" s="1"/>
  <c r="P9" i="4" s="1"/>
  <c r="E8" i="4"/>
  <c r="F8" i="4" s="1"/>
  <c r="G8" i="4" s="1"/>
  <c r="H8" i="4" s="1"/>
  <c r="I8" i="4" s="1"/>
  <c r="J8" i="4" s="1"/>
  <c r="K8" i="4" s="1"/>
  <c r="L8" i="4" s="1"/>
  <c r="M8" i="4" s="1"/>
  <c r="N8" i="4" s="1"/>
  <c r="O8" i="4" s="1"/>
  <c r="P8" i="4" s="1"/>
  <c r="E7" i="4"/>
  <c r="F7" i="4" s="1"/>
  <c r="G7" i="4" s="1"/>
  <c r="H7" i="4" s="1"/>
  <c r="I7" i="4" s="1"/>
  <c r="J7" i="4" s="1"/>
  <c r="K7" i="4" s="1"/>
  <c r="L7" i="4" s="1"/>
  <c r="M7" i="4" s="1"/>
  <c r="N7" i="4" s="1"/>
  <c r="O7" i="4" s="1"/>
  <c r="P7" i="4" s="1"/>
  <c r="E6" i="4"/>
  <c r="F6" i="4" s="1"/>
  <c r="G6" i="4" s="1"/>
  <c r="H6" i="4" s="1"/>
  <c r="I6" i="4" s="1"/>
  <c r="J6" i="4" s="1"/>
  <c r="K6" i="4" s="1"/>
  <c r="L6" i="4" s="1"/>
  <c r="M6" i="4" s="1"/>
  <c r="N6" i="4" s="1"/>
  <c r="O6" i="4" s="1"/>
  <c r="P6" i="4" s="1"/>
  <c r="E4" i="4"/>
  <c r="F4" i="4" s="1"/>
  <c r="G4" i="4" s="1"/>
  <c r="H4" i="4" s="1"/>
  <c r="I4" i="4" s="1"/>
  <c r="J4" i="4" s="1"/>
  <c r="K4" i="4" s="1"/>
  <c r="L4" i="4" s="1"/>
  <c r="M4" i="4" s="1"/>
  <c r="N4" i="4" s="1"/>
  <c r="O4" i="4" s="1"/>
  <c r="P4" i="4" s="1"/>
  <c r="E3" i="4"/>
  <c r="F3" i="4" s="1"/>
  <c r="G3" i="4" s="1"/>
  <c r="H3" i="4" s="1"/>
  <c r="I3" i="4" s="1"/>
  <c r="J3" i="4" s="1"/>
  <c r="K3" i="4" s="1"/>
  <c r="L3" i="4" s="1"/>
  <c r="M3" i="4" s="1"/>
  <c r="N3" i="4" s="1"/>
  <c r="O3" i="4" s="1"/>
  <c r="P3" i="4" s="1"/>
  <c r="P9" i="2" a="1"/>
  <c r="V4" i="2" a="1"/>
  <c r="Z6" i="2" a="1"/>
  <c r="D9" i="2" a="1"/>
  <c r="R7" i="2" a="1"/>
  <c r="F7" i="2" a="1"/>
  <c r="N8" i="2" a="1"/>
  <c r="J9" i="2" a="1"/>
  <c r="AC8" i="2" a="1"/>
  <c r="AC9" i="2" a="1"/>
  <c r="AG5" i="2" a="1"/>
  <c r="AG7" i="2" a="1"/>
  <c r="AA4" i="2" a="1"/>
  <c r="K8" i="2" a="1"/>
  <c r="K5" i="2" a="1"/>
  <c r="T7" i="2" a="1"/>
  <c r="E3" i="2" a="1"/>
  <c r="I8" i="2" a="1"/>
  <c r="AE9" i="2" a="1"/>
  <c r="C3" i="2" a="1"/>
  <c r="Y5" i="2" a="1"/>
  <c r="F5" i="2" a="1"/>
  <c r="O9" i="2" a="1"/>
  <c r="M8" i="2" a="1"/>
  <c r="AI3" i="2" a="1"/>
  <c r="I9" i="2" a="1"/>
  <c r="E9" i="2" a="1"/>
  <c r="Q7" i="2" a="1"/>
  <c r="AA5" i="2" a="1"/>
  <c r="E8" i="2" a="1"/>
  <c r="G4" i="2" a="1"/>
  <c r="Q3" i="2" a="1"/>
  <c r="AA8" i="2" a="1"/>
  <c r="D3" i="2" a="1"/>
  <c r="K9" i="2" a="1"/>
  <c r="H5" i="2" a="1"/>
  <c r="I5" i="2" a="1"/>
  <c r="W5" i="2" a="1"/>
  <c r="AH7" i="2" a="1"/>
  <c r="U7" i="2" a="1"/>
  <c r="T9" i="2" a="1"/>
  <c r="AE7" i="2" a="1"/>
  <c r="M9" i="2" a="1"/>
  <c r="M3" i="2" a="1"/>
  <c r="P5" i="2" a="1"/>
  <c r="E5" i="2" a="1"/>
  <c r="AF7" i="2" a="1"/>
  <c r="C9" i="2" a="1"/>
  <c r="V6" i="2" a="1"/>
  <c r="Y6" i="2" a="1"/>
  <c r="AG3" i="2" a="1"/>
  <c r="Y3" i="2" a="1"/>
  <c r="U9" i="2" a="1"/>
  <c r="L6" i="2" a="1"/>
  <c r="S7" i="2" a="1"/>
  <c r="L5" i="2" a="1"/>
  <c r="O3" i="2" a="1"/>
  <c r="AG6" i="2" a="1"/>
  <c r="L8" i="2" a="1"/>
  <c r="AA7" i="2" a="1"/>
  <c r="X4" i="2" a="1"/>
  <c r="AD4" i="2" a="1"/>
  <c r="X7" i="2" a="1"/>
  <c r="AC5" i="2" a="1"/>
  <c r="AH4" i="2" a="1"/>
  <c r="V8" i="2" a="1"/>
  <c r="E4" i="2" a="1"/>
  <c r="W3" i="2" a="1"/>
  <c r="I6" i="2" a="1"/>
  <c r="R4" i="2" a="1"/>
  <c r="V5" i="2" a="1"/>
  <c r="X6" i="2" a="1"/>
  <c r="AA6" i="2" a="1"/>
  <c r="AC4" i="2" a="1"/>
  <c r="O8" i="2" a="1"/>
  <c r="H8" i="2" a="1"/>
  <c r="W9" i="2" a="1"/>
  <c r="Q5" i="2" a="1"/>
  <c r="I3" i="2" a="1"/>
  <c r="AF5" i="2" a="1"/>
  <c r="D6" i="2" a="1"/>
  <c r="T3" i="2" a="1"/>
  <c r="K3" i="2" a="1"/>
  <c r="AA3" i="2" a="1"/>
  <c r="T8" i="2" a="1"/>
  <c r="AE6" i="2" a="1"/>
  <c r="E6" i="2" a="1"/>
  <c r="U6" i="2" a="1"/>
  <c r="V7" i="2" a="1"/>
  <c r="H3" i="2" a="1"/>
  <c r="I7" i="2" a="1"/>
  <c r="N5" i="2" a="1"/>
  <c r="AC3" i="2" a="1"/>
  <c r="T6" i="2" a="1"/>
  <c r="AG9" i="2" a="1"/>
  <c r="N9" i="2" a="1"/>
  <c r="R6" i="2" a="1"/>
  <c r="S9" i="2" a="1"/>
  <c r="G7" i="2" a="1"/>
  <c r="F3" i="2" a="1"/>
  <c r="Z7" i="2" a="1"/>
  <c r="AH3" i="2" a="1"/>
  <c r="Q6" i="2" a="1"/>
  <c r="AB5" i="2" a="1"/>
  <c r="N3" i="2" a="1"/>
  <c r="Q9" i="2" a="1"/>
  <c r="M4" i="2" a="1"/>
  <c r="N7" i="2" a="1"/>
  <c r="N6" i="2" a="1"/>
  <c r="AF8" i="2" a="1"/>
  <c r="AI5" i="2" a="1"/>
  <c r="H4" i="2" a="1"/>
  <c r="E7" i="2" a="1"/>
  <c r="I4" i="2" a="1"/>
  <c r="F8" i="2" a="1"/>
  <c r="AH8" i="2" a="1"/>
  <c r="W8" i="2" a="1"/>
  <c r="AD9" i="2" a="1"/>
  <c r="AH5" i="2" a="1"/>
  <c r="AB7" i="2" a="1"/>
  <c r="U3" i="2" a="1"/>
  <c r="O4" i="2" a="1"/>
  <c r="F4" i="2" a="1"/>
  <c r="AI6" i="2" a="1"/>
  <c r="P7" i="2" a="1"/>
  <c r="G5" i="2" a="1"/>
  <c r="G8" i="2" a="1"/>
  <c r="O7" i="2" a="1"/>
  <c r="S4" i="2" a="1"/>
  <c r="AD7" i="2" a="1"/>
  <c r="AH9" i="2" a="1"/>
  <c r="AB6" i="2" a="1"/>
  <c r="Y8" i="2" a="1"/>
  <c r="X3" i="2" a="1"/>
  <c r="J8" i="2" a="1"/>
  <c r="C4" i="2" a="1"/>
  <c r="G3" i="2" a="1"/>
  <c r="O6" i="2" a="1"/>
  <c r="V3" i="2" a="1"/>
  <c r="AC6" i="2" a="1"/>
  <c r="S3" i="2" a="1"/>
  <c r="R9" i="2" a="1"/>
  <c r="S5" i="2" a="1"/>
  <c r="X8" i="2" a="1"/>
  <c r="AF3" i="2" a="1"/>
  <c r="D5" i="2" a="1"/>
  <c r="H6" i="2" a="1"/>
  <c r="J5" i="2" a="1"/>
  <c r="C8" i="2" a="1"/>
  <c r="W6" i="2" a="1"/>
  <c r="S8" i="2" a="1"/>
  <c r="F6" i="2" a="1"/>
  <c r="AI4" i="2" a="1"/>
  <c r="R8" i="2" a="1"/>
  <c r="AI7" i="2" a="1"/>
  <c r="T4" i="2" a="1"/>
  <c r="H9" i="2" a="1"/>
  <c r="AE3" i="2" a="1"/>
  <c r="G6" i="2" a="1"/>
  <c r="Z3" i="2" a="1"/>
  <c r="K7" i="2" a="1"/>
  <c r="F9" i="2" a="1"/>
  <c r="J3" i="2" a="1"/>
  <c r="M6" i="2" a="1"/>
  <c r="J7" i="2" a="1"/>
  <c r="Z9" i="2" a="1"/>
  <c r="J6" i="2" a="1"/>
  <c r="AF9" i="2" a="1"/>
  <c r="AA9" i="2" a="1"/>
  <c r="AI8" i="2" a="1"/>
  <c r="X5" i="2" a="1"/>
  <c r="AE5" i="2" a="1"/>
  <c r="M7" i="2" a="1"/>
  <c r="O5" i="2" a="1"/>
  <c r="K4" i="2" a="1"/>
  <c r="R5" i="2" a="1"/>
  <c r="AG4" i="2" a="1"/>
  <c r="AE8" i="2" a="1"/>
  <c r="Z8" i="2" a="1"/>
  <c r="L3" i="2" a="1"/>
  <c r="L7" i="2" a="1"/>
  <c r="X9" i="2" a="1"/>
  <c r="AB9" i="2" a="1"/>
  <c r="AD6" i="2" a="1"/>
  <c r="AD5" i="2" a="1"/>
  <c r="U4" i="2" a="1"/>
  <c r="T5" i="2" a="1"/>
  <c r="U8" i="2" a="1"/>
  <c r="W7" i="2" a="1"/>
  <c r="D4" i="2" a="1"/>
  <c r="G9" i="2" a="1"/>
  <c r="P8" i="2" a="1"/>
  <c r="S6" i="2" a="1"/>
  <c r="Y7" i="2" a="1"/>
  <c r="C6" i="2" a="1"/>
  <c r="D8" i="2" a="1"/>
  <c r="L9" i="2" a="1"/>
  <c r="H7" i="2" a="1"/>
  <c r="AF6" i="2" a="1"/>
  <c r="C7" i="2" a="1"/>
  <c r="Z4" i="2" a="1"/>
  <c r="C5" i="2" a="1"/>
  <c r="P4" i="2" a="1"/>
  <c r="Z5" i="2" a="1"/>
  <c r="AI9" i="2" a="1"/>
  <c r="AD3" i="2" a="1"/>
  <c r="P3" i="2" a="1"/>
  <c r="K6" i="2" a="1"/>
  <c r="N4" i="2" a="1"/>
  <c r="L4" i="2" a="1"/>
  <c r="V9" i="2" a="1"/>
  <c r="R3" i="2" a="1"/>
  <c r="AG8" i="2" a="1"/>
  <c r="AD8" i="2" a="1"/>
  <c r="AH6" i="2" a="1"/>
  <c r="J4" i="2" a="1"/>
  <c r="AF4" i="2" a="1"/>
  <c r="Q8" i="2" a="1"/>
  <c r="AE4" i="2" a="1"/>
  <c r="AC7" i="2" a="1"/>
  <c r="D7" i="2" a="1"/>
  <c r="U5" i="2" a="1"/>
  <c r="M5" i="2" a="1"/>
  <c r="Y9" i="2" a="1"/>
  <c r="AB3" i="2" a="1"/>
  <c r="AB4" i="2" a="1"/>
  <c r="P6" i="2" a="1"/>
  <c r="AB8" i="2" a="1"/>
  <c r="Y4" i="2" a="1"/>
  <c r="W4" i="2" a="1"/>
  <c r="Q4" i="2" a="1"/>
  <c r="K8" i="2" l="1"/>
  <c r="I9" i="2"/>
  <c r="H9" i="2"/>
  <c r="AD7" i="2"/>
  <c r="Q9" i="2"/>
  <c r="G8" i="2"/>
  <c r="J7" i="2"/>
  <c r="Y9" i="2"/>
  <c r="M9" i="2"/>
  <c r="S8" i="2"/>
  <c r="V7" i="2"/>
  <c r="AG9" i="2"/>
  <c r="L9" i="2"/>
  <c r="T9" i="2"/>
  <c r="AC9" i="2"/>
  <c r="AA8" i="2"/>
  <c r="N7" i="2"/>
  <c r="AB9" i="2"/>
  <c r="P9" i="2"/>
  <c r="W8" i="2"/>
  <c r="Z7" i="2"/>
  <c r="X9" i="2"/>
  <c r="AI8" i="2"/>
  <c r="AF9" i="2"/>
  <c r="U9" i="2"/>
  <c r="AE8" i="2"/>
  <c r="O8" i="2"/>
  <c r="AH7" i="2"/>
  <c r="R7" i="2"/>
  <c r="D9" i="2"/>
  <c r="AF8" i="2"/>
  <c r="AB8" i="2"/>
  <c r="X8" i="2"/>
  <c r="T8" i="2"/>
  <c r="P8" i="2"/>
  <c r="L8" i="2"/>
  <c r="H8" i="2"/>
  <c r="AI7" i="2"/>
  <c r="AE7" i="2"/>
  <c r="AA7" i="2"/>
  <c r="W7" i="2"/>
  <c r="S7" i="2"/>
  <c r="O7" i="2"/>
  <c r="K7" i="2"/>
  <c r="G7" i="2"/>
  <c r="AH6" i="2"/>
  <c r="AD6" i="2"/>
  <c r="Z6" i="2"/>
  <c r="V6" i="2"/>
  <c r="R6" i="2"/>
  <c r="N6" i="2"/>
  <c r="J6" i="2"/>
  <c r="F6" i="2"/>
  <c r="E6" i="2"/>
  <c r="AG5" i="2"/>
  <c r="AC5" i="2"/>
  <c r="Y5" i="2"/>
  <c r="U5" i="2"/>
  <c r="Q5" i="2"/>
  <c r="M5" i="2"/>
  <c r="I5" i="2"/>
  <c r="D5" i="2"/>
  <c r="AF4" i="2"/>
  <c r="AB4" i="2"/>
  <c r="X4" i="2"/>
  <c r="T4" i="2"/>
  <c r="P4" i="2"/>
  <c r="L4" i="2"/>
  <c r="H4" i="2"/>
  <c r="E7" i="2"/>
  <c r="M6" i="2"/>
  <c r="T5" i="2"/>
  <c r="AG6" i="2"/>
  <c r="I6" i="2"/>
  <c r="X5" i="2"/>
  <c r="AI4" i="2"/>
  <c r="K4" i="2"/>
  <c r="AI9" i="2"/>
  <c r="W9" i="2"/>
  <c r="K9" i="2"/>
  <c r="AH8" i="2"/>
  <c r="R8" i="2"/>
  <c r="F8" i="2"/>
  <c r="AC7" i="2"/>
  <c r="Q7" i="2"/>
  <c r="AB6" i="2"/>
  <c r="P6" i="2"/>
  <c r="AI5" i="2"/>
  <c r="S5" i="2"/>
  <c r="AH4" i="2"/>
  <c r="E4" i="2"/>
  <c r="AC6" i="2"/>
  <c r="Q6" i="2"/>
  <c r="D6" i="2"/>
  <c r="AB5" i="2"/>
  <c r="L5" i="2"/>
  <c r="AA4" i="2"/>
  <c r="W4" i="2"/>
  <c r="S4" i="2"/>
  <c r="G4" i="2"/>
  <c r="AE9" i="2"/>
  <c r="AA9" i="2"/>
  <c r="S9" i="2"/>
  <c r="O9" i="2"/>
  <c r="G9" i="2"/>
  <c r="AD8" i="2"/>
  <c r="Z8" i="2"/>
  <c r="V8" i="2"/>
  <c r="N8" i="2"/>
  <c r="J8" i="2"/>
  <c r="E8" i="2"/>
  <c r="AG7" i="2"/>
  <c r="Y7" i="2"/>
  <c r="U7" i="2"/>
  <c r="M7" i="2"/>
  <c r="I7" i="2"/>
  <c r="D7" i="2"/>
  <c r="AF6" i="2"/>
  <c r="X6" i="2"/>
  <c r="T6" i="2"/>
  <c r="L6" i="2"/>
  <c r="H6" i="2"/>
  <c r="AE5" i="2"/>
  <c r="AA5" i="2"/>
  <c r="W5" i="2"/>
  <c r="O5" i="2"/>
  <c r="K5" i="2"/>
  <c r="G5" i="2"/>
  <c r="AD4" i="2"/>
  <c r="Z4" i="2"/>
  <c r="V4" i="2"/>
  <c r="R4" i="2"/>
  <c r="N4" i="2"/>
  <c r="J4" i="2"/>
  <c r="F4" i="2"/>
  <c r="F7" i="2"/>
  <c r="Y6" i="2"/>
  <c r="U6" i="2"/>
  <c r="AF5" i="2"/>
  <c r="P5" i="2"/>
  <c r="H5" i="2"/>
  <c r="AE4" i="2"/>
  <c r="O4" i="2"/>
  <c r="AH9" i="2"/>
  <c r="AD9" i="2"/>
  <c r="Z9" i="2"/>
  <c r="V9" i="2"/>
  <c r="R9" i="2"/>
  <c r="N9" i="2"/>
  <c r="J9" i="2"/>
  <c r="F9" i="2"/>
  <c r="E9" i="2"/>
  <c r="AG8" i="2"/>
  <c r="AC8" i="2"/>
  <c r="Y8" i="2"/>
  <c r="U8" i="2"/>
  <c r="Q8" i="2"/>
  <c r="M8" i="2"/>
  <c r="I8" i="2"/>
  <c r="D8" i="2"/>
  <c r="AF7" i="2"/>
  <c r="AB7" i="2"/>
  <c r="X7" i="2"/>
  <c r="T7" i="2"/>
  <c r="P7" i="2"/>
  <c r="L7" i="2"/>
  <c r="H7" i="2"/>
  <c r="AI6" i="2"/>
  <c r="AE6" i="2"/>
  <c r="AA6" i="2"/>
  <c r="W6" i="2"/>
  <c r="S6" i="2"/>
  <c r="O6" i="2"/>
  <c r="K6" i="2"/>
  <c r="G6" i="2"/>
  <c r="AH5" i="2"/>
  <c r="AD5" i="2"/>
  <c r="Z5" i="2"/>
  <c r="V5" i="2"/>
  <c r="R5" i="2"/>
  <c r="N5" i="2"/>
  <c r="J5" i="2"/>
  <c r="F5" i="2"/>
  <c r="E5" i="2"/>
  <c r="AG4" i="2"/>
  <c r="AC4" i="2"/>
  <c r="Y4" i="2"/>
  <c r="U4" i="2"/>
  <c r="Q4" i="2"/>
  <c r="M4" i="2"/>
  <c r="I4" i="2"/>
  <c r="D4" i="2"/>
  <c r="T3" i="2"/>
  <c r="AF3" i="2"/>
  <c r="P3" i="2"/>
  <c r="AE3" i="2"/>
  <c r="W3" i="2"/>
  <c r="O3" i="2"/>
  <c r="G3" i="2"/>
  <c r="AD3" i="2"/>
  <c r="V3" i="2"/>
  <c r="N3" i="2"/>
  <c r="E3" i="2"/>
  <c r="X3" i="2"/>
  <c r="H3" i="2"/>
  <c r="AA3" i="2"/>
  <c r="S3" i="2"/>
  <c r="K3" i="2"/>
  <c r="AH3" i="2"/>
  <c r="Z3" i="2"/>
  <c r="R3" i="2"/>
  <c r="J3" i="2"/>
  <c r="F3" i="2"/>
  <c r="AB3" i="2"/>
  <c r="L3" i="2"/>
  <c r="AI3" i="2"/>
  <c r="AG3" i="2"/>
  <c r="AC3" i="2"/>
  <c r="Y3" i="2"/>
  <c r="U3" i="2"/>
  <c r="Q3" i="2"/>
  <c r="M3" i="2"/>
  <c r="I3" i="2"/>
  <c r="D3" i="2"/>
  <c r="C7" i="2"/>
  <c r="C5" i="2"/>
  <c r="C9" i="2"/>
  <c r="C6" i="2"/>
  <c r="C8" i="2"/>
  <c r="C4" i="2"/>
  <c r="C3" i="2"/>
  <c r="K5" i="1" l="1"/>
  <c r="I7" i="1"/>
  <c r="E4" i="1"/>
  <c r="D5" i="1"/>
  <c r="K9" i="1"/>
  <c r="L9" i="1"/>
  <c r="H3" i="1"/>
  <c r="C5" i="1"/>
  <c r="L8" i="1"/>
  <c r="E8" i="1"/>
  <c r="M5" i="1"/>
  <c r="L4" i="1"/>
  <c r="F9" i="1"/>
  <c r="L6" i="1"/>
  <c r="D9" i="1"/>
  <c r="M3" i="1"/>
  <c r="I5" i="1"/>
  <c r="I6" i="1"/>
  <c r="M8" i="1"/>
  <c r="H6" i="1"/>
  <c r="G7" i="1"/>
  <c r="M9" i="1"/>
  <c r="M7" i="1"/>
  <c r="M4" i="1"/>
  <c r="M6" i="1"/>
  <c r="J4" i="1"/>
  <c r="H7" i="1"/>
  <c r="J9" i="1"/>
  <c r="L7" i="1"/>
  <c r="L5" i="1"/>
  <c r="K8" i="1"/>
  <c r="K4" i="1"/>
  <c r="K7" i="1"/>
  <c r="K6" i="1"/>
  <c r="J8" i="1"/>
  <c r="J5" i="1"/>
  <c r="J6" i="1"/>
  <c r="J7" i="1"/>
  <c r="F8" i="1"/>
  <c r="G4" i="1"/>
  <c r="I9" i="1"/>
  <c r="I8" i="1"/>
  <c r="I4" i="1"/>
  <c r="H5" i="1"/>
  <c r="H9" i="1"/>
  <c r="H8" i="1"/>
  <c r="H4" i="1"/>
  <c r="G6" i="1"/>
  <c r="G8" i="1"/>
  <c r="F7" i="1"/>
  <c r="G9" i="1"/>
  <c r="G5" i="1"/>
  <c r="E7" i="1"/>
  <c r="F6" i="1"/>
  <c r="F4" i="1"/>
  <c r="F5" i="1"/>
  <c r="E6" i="1"/>
  <c r="E9" i="1"/>
  <c r="E5" i="1"/>
  <c r="D4" i="1"/>
  <c r="D8" i="1"/>
  <c r="D6" i="1"/>
  <c r="C7" i="1"/>
  <c r="D7" i="1"/>
  <c r="C8" i="1"/>
  <c r="C6" i="1"/>
  <c r="C9" i="1"/>
  <c r="C4" i="1"/>
  <c r="L3" i="1"/>
  <c r="K3" i="1"/>
  <c r="J3" i="1"/>
  <c r="I3" i="1"/>
  <c r="E3" i="1"/>
  <c r="G3" i="1"/>
  <c r="F3" i="1"/>
  <c r="D3" i="1"/>
  <c r="C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<sst xmlns="http://schemas.openxmlformats.org/spreadsheetml/2006/main" count="98" uniqueCount="62">
  <si>
    <t>BHI</t>
  </si>
  <si>
    <t>LB</t>
  </si>
  <si>
    <t>M9 fruc</t>
  </si>
  <si>
    <t>M9 glyc</t>
  </si>
  <si>
    <t>M9 NaHCO3</t>
  </si>
  <si>
    <t>M9 nuc</t>
  </si>
  <si>
    <t>M9 std</t>
  </si>
  <si>
    <t>M9 vit</t>
  </si>
  <si>
    <t>M9 no aa</t>
  </si>
  <si>
    <t>M9 vit nuc</t>
  </si>
  <si>
    <t>RPMI</t>
  </si>
  <si>
    <t>SMX</t>
  </si>
  <si>
    <t>TMP</t>
  </si>
  <si>
    <t>SMX/TMP</t>
  </si>
  <si>
    <t>PYR</t>
  </si>
  <si>
    <t>SD</t>
  </si>
  <si>
    <t>SPY</t>
  </si>
  <si>
    <t>SMM</t>
  </si>
  <si>
    <t>Media</t>
  </si>
  <si>
    <t>Plate</t>
  </si>
  <si>
    <t>A</t>
  </si>
  <si>
    <t>B</t>
  </si>
  <si>
    <t>TMP/SMX</t>
  </si>
  <si>
    <t>C</t>
  </si>
  <si>
    <t>D</t>
  </si>
  <si>
    <t>E</t>
  </si>
  <si>
    <t>F</t>
  </si>
  <si>
    <t>G</t>
  </si>
  <si>
    <t>controls</t>
  </si>
  <si>
    <t>H</t>
  </si>
  <si>
    <t>no drug controls</t>
  </si>
  <si>
    <t>no bac controls</t>
  </si>
  <si>
    <t>pseudo-13 (no growth)</t>
  </si>
  <si>
    <t>MAFr</t>
  </si>
  <si>
    <t>MAGly</t>
  </si>
  <si>
    <t>MAG-Na</t>
  </si>
  <si>
    <t>MG</t>
  </si>
  <si>
    <t>MAGN</t>
  </si>
  <si>
    <t>MAG</t>
  </si>
  <si>
    <t>MAGV</t>
  </si>
  <si>
    <t>MAGVN</t>
  </si>
  <si>
    <t>Showing only TMP value for TMP/SMX for simplicity.</t>
  </si>
  <si>
    <t>Median of MGCs calculated across each plate as shown in tab 'MGCs each plate'</t>
  </si>
  <si>
    <t>MGCs calculated by using the calls of full or reduced growth in 'Well calls each plate' to select concentration from 'Plate map key.'</t>
  </si>
  <si>
    <t>Across all tabs, blacked out values are values removed from consideration due to mistake with experiment execution.</t>
  </si>
  <si>
    <t>Values represent which row of the plate was last called to contain 'full growth' using neural network pipeline with manual adjustments as needed. See representation of these values in PowerPoint MGCRecordPlates.pptx.</t>
  </si>
  <si>
    <t>A value with .5 added indicates the call should be made between rows. For example, a call of 4.5 represents an MGC being averaged between row 4 and row 5 of the drug concentration plate.</t>
  </si>
  <si>
    <t>Plate map represents drug concentrations used in all plates of screen. Concentrations below the lowest used in column 12 are shown here to calculate MGCs where no growth was seen at any concentration.</t>
  </si>
  <si>
    <t>For TMP/SMX, showing TMP value only so math can be calculated across sheets.</t>
  </si>
  <si>
    <t>5/100</t>
  </si>
  <si>
    <t>2.5/50</t>
  </si>
  <si>
    <t>1.25/25</t>
  </si>
  <si>
    <t>0.625/12.5</t>
  </si>
  <si>
    <t>0.313/6.25</t>
  </si>
  <si>
    <t>0.156/3.125</t>
  </si>
  <si>
    <t>0.08/1.56</t>
  </si>
  <si>
    <t>0.04/0.8</t>
  </si>
  <si>
    <t>0.02/0.4</t>
  </si>
  <si>
    <t>0.01/0.2</t>
  </si>
  <si>
    <t>0.005/0.1</t>
  </si>
  <si>
    <t>0.002/0.05</t>
  </si>
  <si>
    <t>Concentrations for both TMP and SMX for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</si>
</sst>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 x14ac:knownFonts="1">
    <font>
      <sz val="12"/>
      <color theme="1"/>
      <name val="Aptos Narrow"/>
      <family val="2"/>
      <scheme val="minor"/>
    </font>
    <font>
      <sz val="12"/>
      <color rgb="FF000000"/>
      <name val="Aptos Narrow"/>
      <family val="2"/>
      <scheme val="minor"/>
    </font>
  </fonts>
  <fills count="17">
    <fill>
      <patternFill patternType="none"/>
    </fill>
    <fill>
      <patternFill patternType="gray125"/>
    </fill>
    <fill>
      <patternFill patternType="solid">
        <fgColor rgb="FFFFC0EB"/>
        <bgColor indexed="64"/>
      </patternFill>
    </fill>
    <fill>
      <patternFill patternType="solid">
        <fgColor rgb="FFFFC0EC"/>
        <bgColor indexed="64"/>
      </patternFill>
    </fill>
    <fill>
      <patternFill patternType="solid">
        <fgColor theme="7" tint="0.39997558519241921"/>
        <bgColor indexed="64"/>
      </patternFill>
    </fill>
    <fill>
      <patternFill patternType="solid">
        <fgColor rgb="FF61CCF4"/>
        <bgColor indexed="64"/>
      </patternFill>
    </fill>
    <fill>
      <patternFill patternType="solid">
        <fgColor rgb="FFC2A8C4"/>
        <bgColor indexed="64"/>
      </patternFill>
    </fill>
    <fill>
      <patternFill patternType="solid">
        <fgColor theme="4" tint="0.79998168889431442"/>
        <bgColor indexed="64"/>
      </patternFill>
    </fill>
    <fill>
      <patternFill patternType="solid">
        <fgColor rgb="FFC0E7F5"/>
        <bgColor indexed="64"/>
      </patternFill>
    </fill>
    <fill>
      <patternFill patternType="solid">
        <fgColor rgb="FFFF613F"/>
        <bgColor indexed="64"/>
      </patternFill>
    </fill>
    <fill>
      <patternFill patternType="solid">
        <fgColor rgb="FFFF613E"/>
        <bgColor indexed="64"/>
      </patternFill>
    </fill>
    <fill>
      <patternFill patternType="solid">
        <fgColor rgb="FFFF5A74"/>
        <bgColor indexed="64"/>
      </patternFill>
    </fill>
    <fill>
      <patternFill patternType="solid">
        <fgColor rgb="FFFF79BA"/>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rgb="FFC2A8C4"/>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0" borderId="1" xfId="0" applyBorder="1"/>
    <xf numFmtId="0" fontId="0" fillId="0" borderId="0" xfId="0" applyAlignment="1">
      <alignment horizontal="center"/>
    </xf>
    <xf numFmtId="0" fontId="0" fillId="2" borderId="0" xfId="0" applyFill="1" applyAlignment="1">
      <alignment horizontal="center"/>
    </xf>
    <xf numFmtId="0" fontId="0" fillId="3" borderId="1" xfId="0" applyFill="1" applyBorder="1"/>
    <xf numFmtId="164" fontId="0" fillId="3" borderId="1" xfId="0" applyNumberFormat="1" applyFill="1" applyBorder="1"/>
    <xf numFmtId="2" fontId="0" fillId="3" borderId="1" xfId="0" applyNumberFormat="1" applyFill="1" applyBorder="1"/>
    <xf numFmtId="0" fontId="0" fillId="4" borderId="0" xfId="0" applyFill="1" applyAlignment="1">
      <alignment horizontal="center"/>
    </xf>
    <xf numFmtId="0" fontId="0" fillId="5" borderId="1" xfId="0" applyFill="1" applyBorder="1"/>
    <xf numFmtId="164" fontId="0" fillId="5" borderId="1" xfId="0" applyNumberFormat="1" applyFill="1" applyBorder="1"/>
    <xf numFmtId="2" fontId="0" fillId="5" borderId="1" xfId="0" applyNumberFormat="1" applyFill="1" applyBorder="1"/>
    <xf numFmtId="0" fontId="0" fillId="6" borderId="0" xfId="0" applyFill="1" applyAlignment="1">
      <alignment horizontal="center"/>
    </xf>
    <xf numFmtId="0" fontId="0" fillId="7" borderId="0" xfId="0" applyFill="1" applyAlignment="1">
      <alignment horizontal="center"/>
    </xf>
    <xf numFmtId="0" fontId="0" fillId="8" borderId="1" xfId="0" applyFill="1" applyBorder="1"/>
    <xf numFmtId="164" fontId="0" fillId="8" borderId="1" xfId="0" applyNumberFormat="1" applyFill="1" applyBorder="1"/>
    <xf numFmtId="2" fontId="0" fillId="8" borderId="1" xfId="0" applyNumberFormat="1" applyFill="1" applyBorder="1"/>
    <xf numFmtId="0" fontId="0" fillId="9" borderId="0" xfId="0" applyFill="1" applyAlignment="1">
      <alignment horizontal="center"/>
    </xf>
    <xf numFmtId="0" fontId="0" fillId="10" borderId="1" xfId="0" applyFill="1" applyBorder="1"/>
    <xf numFmtId="164" fontId="0" fillId="10" borderId="1" xfId="0" applyNumberFormat="1" applyFill="1" applyBorder="1"/>
    <xf numFmtId="2" fontId="0" fillId="10" borderId="1" xfId="0" applyNumberFormat="1" applyFill="1" applyBorder="1"/>
    <xf numFmtId="0" fontId="0" fillId="11" borderId="0" xfId="0" applyFill="1" applyAlignment="1">
      <alignment horizontal="center"/>
    </xf>
    <xf numFmtId="0" fontId="0" fillId="11" borderId="1" xfId="0" applyFill="1" applyBorder="1"/>
    <xf numFmtId="164" fontId="0" fillId="11" borderId="1" xfId="0" applyNumberFormat="1" applyFill="1" applyBorder="1"/>
    <xf numFmtId="2" fontId="0" fillId="11" borderId="1" xfId="0" applyNumberFormat="1" applyFill="1" applyBorder="1"/>
    <xf numFmtId="0" fontId="0" fillId="12" borderId="0" xfId="0" applyFill="1" applyAlignment="1">
      <alignment horizontal="center"/>
    </xf>
    <xf numFmtId="0" fontId="0" fillId="12" borderId="1" xfId="0" applyFill="1" applyBorder="1"/>
    <xf numFmtId="164" fontId="0" fillId="12" borderId="1" xfId="0" applyNumberFormat="1" applyFill="1" applyBorder="1"/>
    <xf numFmtId="2" fontId="0" fillId="12" borderId="1" xfId="0" applyNumberFormat="1" applyFill="1" applyBorder="1"/>
    <xf numFmtId="0" fontId="0" fillId="13" borderId="0" xfId="0" applyFill="1" applyAlignment="1">
      <alignment horizontal="center"/>
    </xf>
    <xf numFmtId="0" fontId="0" fillId="6" borderId="1" xfId="0" applyFill="1" applyBorder="1"/>
    <xf numFmtId="165" fontId="0" fillId="6" borderId="1" xfId="0" applyNumberFormat="1" applyFill="1" applyBorder="1"/>
    <xf numFmtId="166" fontId="0" fillId="5" borderId="1" xfId="0" applyNumberFormat="1" applyFill="1" applyBorder="1"/>
    <xf numFmtId="0" fontId="0" fillId="15" borderId="0" xfId="0" applyFill="1"/>
    <xf numFmtId="0" fontId="0" fillId="15" borderId="1" xfId="0" applyFill="1" applyBorder="1"/>
    <xf numFmtId="2" fontId="0" fillId="0" borderId="1" xfId="0" applyNumberFormat="1" applyBorder="1"/>
    <xf numFmtId="2" fontId="0" fillId="15" borderId="1" xfId="0" applyNumberFormat="1" applyFill="1" applyBorder="1"/>
    <xf numFmtId="0" fontId="0" fillId="0" borderId="0" xfId="0" applyAlignment="1">
      <alignment horizontal="center"/>
    </xf>
    <xf numFmtId="0" fontId="0" fillId="13" borderId="2" xfId="0" applyFill="1" applyBorder="1" applyAlignment="1">
      <alignment horizontal="center"/>
    </xf>
    <xf numFmtId="0" fontId="0" fillId="13" borderId="3" xfId="0" applyFill="1" applyBorder="1" applyAlignment="1">
      <alignment horizontal="center"/>
    </xf>
    <xf numFmtId="0" fontId="0" fillId="13" borderId="4" xfId="0" applyFill="1" applyBorder="1" applyAlignment="1">
      <alignment horizontal="center"/>
    </xf>
    <xf numFmtId="0" fontId="0" fillId="14" borderId="2" xfId="0" applyFill="1" applyBorder="1" applyAlignment="1">
      <alignment horizontal="center"/>
    </xf>
    <xf numFmtId="0" fontId="0" fillId="14" borderId="3" xfId="0" applyFill="1" applyBorder="1" applyAlignment="1">
      <alignment horizontal="center"/>
    </xf>
    <xf numFmtId="0" fontId="0" fillId="14" borderId="4" xfId="0" applyFill="1" applyBorder="1" applyAlignment="1">
      <alignment horizontal="center"/>
    </xf>
    <xf numFmtId="0" fontId="1" fillId="16" borderId="1" xfId="0" applyFont="1" applyFill="1" applyBorder="1" applyAlignment="1">
      <alignment horizontal="right"/>
    </xf>
    <xf numFmtId="0" fontId="1" fillId="16" borderId="4" xfId="0" applyFont="1" applyFill="1" applyBorder="1" applyAlignment="1">
      <alignment horizontal="right"/>
    </xf>
    <xf numFmtId="164" fontId="1" fillId="16" borderId="4" xfId="0" applyNumberFormat="1" applyFont="1" applyFill="1" applyBorder="1" applyAlignment="1">
      <alignment horizontal="right"/>
    </xf>
    <xf numFmtId="2" fontId="1" fillId="16" borderId="4"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C7F9-CB1C-0E45-BFDD-2ABB2CE4FF90}">
  <dimension ref="B2:M15"/>
  <sheetViews>
    <sheetView tabSelected="1" zoomScale="135" workbookViewId="0">
      <selection activeCell="C19" sqref="C19"/>
    </sheetView>
  </sheetViews>
  <sheetFormatPr baseColWidth="10" defaultRowHeight="16" x14ac:dyDescent="0.2"/>
  <sheetData>
    <row r="2" spans="2:13" x14ac:dyDescent="0.2">
      <c r="C2" s="2" t="s">
        <v>0</v>
      </c>
      <c r="D2" s="2" t="s">
        <v>1</v>
      </c>
      <c r="E2" s="2" t="s">
        <v>33</v>
      </c>
      <c r="F2" s="2" t="s">
        <v>34</v>
      </c>
      <c r="G2" s="2" t="s">
        <v>35</v>
      </c>
      <c r="H2" s="2" t="s">
        <v>36</v>
      </c>
      <c r="I2" s="2" t="s">
        <v>37</v>
      </c>
      <c r="J2" s="2" t="s">
        <v>38</v>
      </c>
      <c r="K2" s="2" t="s">
        <v>39</v>
      </c>
      <c r="L2" s="2" t="s">
        <v>40</v>
      </c>
      <c r="M2" s="2" t="s">
        <v>10</v>
      </c>
    </row>
    <row r="3" spans="2:13" x14ac:dyDescent="0.2">
      <c r="B3" s="3" t="s">
        <v>11</v>
      </c>
      <c r="C3" s="34">
        <f ca="1">MEDIAN('MGCs each plate'!C3:E3)</f>
        <v>1000</v>
      </c>
      <c r="D3" s="34">
        <f ca="1">MEDIAN('MGCs each plate'!F3:H3)</f>
        <v>93.75</v>
      </c>
      <c r="E3" s="34">
        <f ca="1">MEDIAN('MGCs each plate'!I3:K3)</f>
        <v>2.9296875</v>
      </c>
      <c r="F3" s="34">
        <f ca="1">MEDIAN('MGCs each plate'!L3:N3)</f>
        <v>2.9296875</v>
      </c>
      <c r="G3" s="34">
        <f ca="1">MEDIAN('MGCs each plate'!O3:Q3)</f>
        <v>3.90625</v>
      </c>
      <c r="H3" s="34">
        <f ca="1">MEDIAN('MGCs each plate'!R3:T3)</f>
        <v>0.244140625</v>
      </c>
      <c r="I3" s="34">
        <f ca="1">MEDIAN('MGCs each plate'!U3:W3)</f>
        <v>1.953125</v>
      </c>
      <c r="J3" s="34">
        <f ca="1">MEDIAN('MGCs each plate'!X3:Z3)</f>
        <v>2.9296875</v>
      </c>
      <c r="K3" s="34">
        <f ca="1">MEDIAN('MGCs each plate'!AA3:AB3)</f>
        <v>11.71875</v>
      </c>
      <c r="L3" s="34">
        <f ca="1">MEDIAN('MGCs each plate'!AD3:AF3)</f>
        <v>1000</v>
      </c>
      <c r="M3" s="34">
        <f ca="1">MEDIAN('MGCs each plate'!AG3:AI3)</f>
        <v>250</v>
      </c>
    </row>
    <row r="4" spans="2:13" x14ac:dyDescent="0.2">
      <c r="B4" s="7" t="s">
        <v>12</v>
      </c>
      <c r="C4" s="34">
        <f ca="1">MEDIAN('MGCs each plate'!C4:E4)</f>
        <v>0.703125</v>
      </c>
      <c r="D4" s="34">
        <f ca="1">MEDIAN('MGCs each plate'!F4:H4)</f>
        <v>0.46875</v>
      </c>
      <c r="E4" s="34">
        <f ca="1">MEDIAN('MGCs each plate'!I4:K4)</f>
        <v>2.8125</v>
      </c>
      <c r="F4" s="34">
        <f ca="1">MEDIAN('MGCs each plate'!L4:N4)</f>
        <v>1.40625</v>
      </c>
      <c r="G4" s="34">
        <f ca="1">MEDIAN('MGCs each plate'!O4:Q4)</f>
        <v>1.875</v>
      </c>
      <c r="H4" s="34">
        <f ca="1">MEDIAN('MGCs each plate'!R4:T4)</f>
        <v>0.46875</v>
      </c>
      <c r="I4" s="34">
        <f ca="1">MEDIAN('MGCs each plate'!U4:W4)</f>
        <v>0.46875</v>
      </c>
      <c r="J4" s="34">
        <f ca="1">MEDIAN('MGCs each plate'!X4:Z4)</f>
        <v>1.40625</v>
      </c>
      <c r="K4" s="34">
        <f ca="1">MEDIAN('MGCs each plate'!AA4:AB4)</f>
        <v>1.875</v>
      </c>
      <c r="L4" s="34">
        <f ca="1">MEDIAN('MGCs each plate'!AD4:AF4)</f>
        <v>0.46875</v>
      </c>
      <c r="M4" s="34">
        <f ca="1">MEDIAN('MGCs each plate'!AG4:AI4)</f>
        <v>0.9375</v>
      </c>
    </row>
    <row r="5" spans="2:13" x14ac:dyDescent="0.2">
      <c r="B5" s="11" t="s">
        <v>22</v>
      </c>
      <c r="C5" s="34">
        <f ca="1">MEDIAN('MGCs each plate'!C5:E5)</f>
        <v>0.3125</v>
      </c>
      <c r="D5" s="34">
        <f ca="1">MEDIAN('MGCs each plate'!F5:H5)</f>
        <v>0.15625</v>
      </c>
      <c r="E5" s="34">
        <f ca="1">MEDIAN('MGCs each plate'!I5:K5)</f>
        <v>3.90625E-2</v>
      </c>
      <c r="F5" s="34">
        <f ca="1">MEDIAN('MGCs each plate'!L5:N5)</f>
        <v>7.8125E-2</v>
      </c>
      <c r="G5" s="34">
        <f ca="1">MEDIAN('MGCs each plate'!O5:Q5)</f>
        <v>7.8125E-2</v>
      </c>
      <c r="H5" s="34">
        <f ca="1">MEDIAN('MGCs each plate'!R5:T5)</f>
        <v>9.765625E-3</v>
      </c>
      <c r="I5" s="34">
        <f ca="1">MEDIAN('MGCs each plate'!U5:W5)</f>
        <v>1.953125E-2</v>
      </c>
      <c r="J5" s="34">
        <f ca="1">MEDIAN('MGCs each plate'!X5:Z5)</f>
        <v>3.90625E-2</v>
      </c>
      <c r="K5" s="34">
        <f ca="1">MEDIAN('MGCs each plate'!AA5:AB5)</f>
        <v>7.8125E-2</v>
      </c>
      <c r="L5" s="34">
        <f ca="1">MEDIAN('MGCs each plate'!AD5:AF5)</f>
        <v>7.8125E-2</v>
      </c>
      <c r="M5" s="34">
        <f ca="1">MEDIAN('MGCs each plate'!AG5:AI5)</f>
        <v>0.3125</v>
      </c>
    </row>
    <row r="6" spans="2:13" x14ac:dyDescent="0.2">
      <c r="B6" s="12" t="s">
        <v>14</v>
      </c>
      <c r="C6" s="34">
        <f ca="1">MEDIAN('MGCs each plate'!C6:E6)</f>
        <v>400</v>
      </c>
      <c r="D6" s="34">
        <f ca="1">MEDIAN('MGCs each plate'!F6:H6)</f>
        <v>300</v>
      </c>
      <c r="E6" s="34">
        <f ca="1">MEDIAN('MGCs each plate'!I6:K6)</f>
        <v>400</v>
      </c>
      <c r="F6" s="34">
        <f ca="1">MEDIAN('MGCs each plate'!L6:N6)</f>
        <v>400</v>
      </c>
      <c r="G6" s="34">
        <f ca="1">MEDIAN('MGCs each plate'!O6:Q6)</f>
        <v>400</v>
      </c>
      <c r="H6" s="34">
        <f ca="1">MEDIAN('MGCs each plate'!R6:T6)</f>
        <v>400</v>
      </c>
      <c r="I6" s="34">
        <f ca="1">MEDIAN('MGCs each plate'!U6:W6)</f>
        <v>400</v>
      </c>
      <c r="J6" s="34">
        <f ca="1">MEDIAN('MGCs each plate'!X6:Z6)</f>
        <v>400</v>
      </c>
      <c r="K6" s="34">
        <f ca="1">MEDIAN('MGCs each plate'!AA6:AB6)</f>
        <v>400</v>
      </c>
      <c r="L6" s="34">
        <f ca="1">MEDIAN('MGCs each plate'!AD6:AF6)</f>
        <v>400</v>
      </c>
      <c r="M6" s="34">
        <f ca="1">MEDIAN('MGCs each plate'!AG6:AI6)</f>
        <v>400</v>
      </c>
    </row>
    <row r="7" spans="2:13" x14ac:dyDescent="0.2">
      <c r="B7" s="16" t="s">
        <v>15</v>
      </c>
      <c r="C7" s="34">
        <f ca="1">MEDIAN('MGCs each plate'!C7:E7)</f>
        <v>750</v>
      </c>
      <c r="D7" s="34">
        <f ca="1">MEDIAN('MGCs each plate'!F7:H7)</f>
        <v>750</v>
      </c>
      <c r="E7" s="34">
        <f ca="1">MEDIAN('MGCs each plate'!I7:K7)</f>
        <v>17.578125</v>
      </c>
      <c r="F7" s="34">
        <f ca="1">MEDIAN('MGCs each plate'!L7:N7)</f>
        <v>8.7890625</v>
      </c>
      <c r="G7" s="34">
        <f ca="1">MEDIAN('MGCs each plate'!O7:Q7)</f>
        <v>11.71875</v>
      </c>
      <c r="H7" s="34">
        <f ca="1">MEDIAN('MGCs each plate'!R7:T7)</f>
        <v>0.732421875</v>
      </c>
      <c r="I7" s="34">
        <f ca="1">MEDIAN('MGCs each plate'!U7:W7)</f>
        <v>5.859375</v>
      </c>
      <c r="J7" s="34">
        <f ca="1">MEDIAN('MGCs each plate'!X7:Z7)</f>
        <v>11.71875</v>
      </c>
      <c r="K7" s="34">
        <f ca="1">MEDIAN('MGCs each plate'!AA7:AB7)</f>
        <v>52.734375</v>
      </c>
      <c r="L7" s="34">
        <f ca="1">MEDIAN('MGCs each plate'!AD7:AF7)</f>
        <v>750</v>
      </c>
      <c r="M7" s="34">
        <f ca="1">MEDIAN('MGCs each plate'!AG7:AI7)</f>
        <v>750</v>
      </c>
    </row>
    <row r="8" spans="2:13" x14ac:dyDescent="0.2">
      <c r="B8" s="20" t="s">
        <v>16</v>
      </c>
      <c r="C8" s="34">
        <f ca="1">MEDIAN('MGCs each plate'!C8:E8)</f>
        <v>750</v>
      </c>
      <c r="D8" s="34">
        <f ca="1">MEDIAN('MGCs each plate'!F8:H8)</f>
        <v>750</v>
      </c>
      <c r="E8" s="34">
        <f ca="1">MEDIAN('MGCs each plate'!I8:K8)</f>
        <v>23.4375</v>
      </c>
      <c r="F8" s="34">
        <f ca="1">MEDIAN('MGCs each plate'!L8:N8)</f>
        <v>17.578125</v>
      </c>
      <c r="G8" s="34">
        <f ca="1">MEDIAN('MGCs each plate'!O8:Q8)</f>
        <v>5.859375</v>
      </c>
      <c r="H8" s="34">
        <f ca="1">MEDIAN('MGCs each plate'!R8:T8)</f>
        <v>2.197265625</v>
      </c>
      <c r="I8" s="34">
        <f ca="1">MEDIAN('MGCs each plate'!U8:W8)</f>
        <v>11.71875</v>
      </c>
      <c r="J8" s="34">
        <f ca="1">MEDIAN('MGCs each plate'!X8:Z8)</f>
        <v>17.578125</v>
      </c>
      <c r="K8" s="34">
        <f ca="1">MEDIAN('MGCs each plate'!AA8:AB8)</f>
        <v>140.625</v>
      </c>
      <c r="L8" s="34">
        <f ca="1">MEDIAN('MGCs each plate'!AD8:AF8)</f>
        <v>750</v>
      </c>
      <c r="M8" s="34">
        <f ca="1">MEDIAN('MGCs each plate'!AG8:AI8)</f>
        <v>375</v>
      </c>
    </row>
    <row r="9" spans="2:13" x14ac:dyDescent="0.2">
      <c r="B9" s="24" t="s">
        <v>17</v>
      </c>
      <c r="C9" s="34">
        <f ca="1">MEDIAN('MGCs each plate'!C9:E9)</f>
        <v>500</v>
      </c>
      <c r="D9" s="34">
        <f ca="1">MEDIAN('MGCs each plate'!F9:H9)</f>
        <v>375</v>
      </c>
      <c r="E9" s="34">
        <f ca="1">MEDIAN('MGCs each plate'!I9:K9)</f>
        <v>2.9296875</v>
      </c>
      <c r="F9" s="34">
        <f ca="1">MEDIAN('MGCs each plate'!L9:N9)</f>
        <v>1.46484375</v>
      </c>
      <c r="G9" s="34">
        <f ca="1">MEDIAN('MGCs each plate'!O9:Q9)</f>
        <v>2.9296875</v>
      </c>
      <c r="H9" s="34">
        <f ca="1">MEDIAN('MGCs each plate'!R9:T9)</f>
        <v>0.18310546875</v>
      </c>
      <c r="I9" s="34">
        <f ca="1">MEDIAN('MGCs each plate'!U9:W9)</f>
        <v>0.9765625</v>
      </c>
      <c r="J9" s="34">
        <f ca="1">MEDIAN('MGCs each plate'!X9:Z9)</f>
        <v>3.90625</v>
      </c>
      <c r="K9" s="34">
        <f ca="1">MEDIAN('MGCs each plate'!AA9:AB9)</f>
        <v>17.578125</v>
      </c>
      <c r="L9" s="34">
        <f ca="1">MEDIAN('MGCs each plate'!AD9:AF9)</f>
        <v>375</v>
      </c>
      <c r="M9" s="34">
        <f ca="1">MEDIAN('MGCs each plate'!AG9:AI9)</f>
        <v>125</v>
      </c>
    </row>
    <row r="12" spans="2:13" x14ac:dyDescent="0.2">
      <c r="B12" t="s">
        <v>42</v>
      </c>
    </row>
    <row r="13" spans="2:13" x14ac:dyDescent="0.2">
      <c r="B13" t="s">
        <v>41</v>
      </c>
    </row>
    <row r="15" spans="2:13" x14ac:dyDescent="0.2">
      <c r="B15"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12BD6-F756-0546-A00F-E4DB08443CAB}">
  <dimension ref="B1:AI13"/>
  <sheetViews>
    <sheetView zoomScale="90" workbookViewId="0">
      <selection activeCell="B13" sqref="B13"/>
    </sheetView>
  </sheetViews>
  <sheetFormatPr baseColWidth="10" defaultRowHeight="16" x14ac:dyDescent="0.2"/>
  <sheetData>
    <row r="1" spans="2:35" x14ac:dyDescent="0.2">
      <c r="B1" t="s">
        <v>18</v>
      </c>
      <c r="C1" s="36" t="s">
        <v>0</v>
      </c>
      <c r="D1" s="36"/>
      <c r="E1" s="36"/>
      <c r="F1" s="36" t="s">
        <v>1</v>
      </c>
      <c r="G1" s="36"/>
      <c r="H1" s="36"/>
      <c r="I1" s="36" t="s">
        <v>2</v>
      </c>
      <c r="J1" s="36"/>
      <c r="K1" s="36"/>
      <c r="L1" s="36" t="s">
        <v>3</v>
      </c>
      <c r="M1" s="36"/>
      <c r="N1" s="36"/>
      <c r="O1" s="36" t="s">
        <v>4</v>
      </c>
      <c r="P1" s="36"/>
      <c r="Q1" s="36"/>
      <c r="R1" s="36" t="s">
        <v>8</v>
      </c>
      <c r="S1" s="36"/>
      <c r="T1" s="36"/>
      <c r="U1" s="36" t="s">
        <v>5</v>
      </c>
      <c r="V1" s="36"/>
      <c r="W1" s="36"/>
      <c r="X1" s="36" t="s">
        <v>6</v>
      </c>
      <c r="Y1" s="36"/>
      <c r="Z1" s="36"/>
      <c r="AA1" s="36" t="s">
        <v>7</v>
      </c>
      <c r="AB1" s="36"/>
      <c r="AC1" s="36"/>
      <c r="AD1" s="36" t="s">
        <v>9</v>
      </c>
      <c r="AE1" s="36"/>
      <c r="AF1" s="36"/>
      <c r="AG1" s="36" t="s">
        <v>10</v>
      </c>
      <c r="AH1" s="36"/>
      <c r="AI1" s="36"/>
    </row>
    <row r="2" spans="2:35" x14ac:dyDescent="0.2">
      <c r="B2" t="s">
        <v>19</v>
      </c>
      <c r="C2">
        <v>1</v>
      </c>
      <c r="D2">
        <v>2</v>
      </c>
      <c r="E2">
        <v>3</v>
      </c>
      <c r="F2">
        <v>1</v>
      </c>
      <c r="G2">
        <v>2</v>
      </c>
      <c r="H2">
        <v>3</v>
      </c>
      <c r="I2">
        <v>1</v>
      </c>
      <c r="J2">
        <v>2</v>
      </c>
      <c r="K2">
        <v>3</v>
      </c>
      <c r="L2">
        <v>1</v>
      </c>
      <c r="M2">
        <v>2</v>
      </c>
      <c r="N2">
        <v>3</v>
      </c>
      <c r="O2">
        <v>1</v>
      </c>
      <c r="P2">
        <v>2</v>
      </c>
      <c r="Q2">
        <v>3</v>
      </c>
      <c r="R2">
        <v>1</v>
      </c>
      <c r="S2">
        <v>2</v>
      </c>
      <c r="T2">
        <v>3</v>
      </c>
      <c r="U2">
        <v>1</v>
      </c>
      <c r="V2">
        <v>2</v>
      </c>
      <c r="W2">
        <v>3</v>
      </c>
      <c r="X2">
        <v>1</v>
      </c>
      <c r="Y2">
        <v>2</v>
      </c>
      <c r="Z2">
        <v>3</v>
      </c>
      <c r="AA2">
        <v>1</v>
      </c>
      <c r="AB2">
        <v>2</v>
      </c>
      <c r="AC2" s="32">
        <v>3</v>
      </c>
      <c r="AD2">
        <v>1</v>
      </c>
      <c r="AE2">
        <v>2</v>
      </c>
      <c r="AF2">
        <v>3</v>
      </c>
      <c r="AG2">
        <v>1</v>
      </c>
      <c r="AH2">
        <v>2</v>
      </c>
      <c r="AI2">
        <v>3</v>
      </c>
    </row>
    <row r="3" spans="2:35" x14ac:dyDescent="0.2">
      <c r="B3" t="s">
        <v>11</v>
      </c>
      <c r="C3" s="34" cm="1">
        <f t="array" aca="1" ref="C3" ca="1">IF(
MOD('Well calls each plate'!C3,1)=0,
INDIRECT("'Plate map key'!"&amp;ADDRESS(ROW(),'Well calls each plate'!C3+3)),
AVERAGE(
    INDIRECT("'Plate map key'!"&amp;ADDRESS(ROW(),TRUNC('Well calls each plate'!C3)+3)),
    INDIRECT("'Plate map key'!"&amp;ADDRESS(ROW(),TRUNC('Well calls each plate'!C3)+4)))
)</f>
        <v>1000</v>
      </c>
      <c r="D3" s="34" cm="1">
        <f t="array" aca="1" ref="D3" ca="1">IF(
MOD('Well calls each plate'!D3,1)=0,
INDIRECT("'Plate map key'!"&amp;ADDRESS(ROW(),'Well calls each plate'!D3+3)),
AVERAGE(
    INDIRECT("'Plate map key'!"&amp;ADDRESS(ROW(),TRUNC('Well calls each plate'!D3)+3)),
    INDIRECT("'Plate map key'!"&amp;ADDRESS(ROW(),TRUNC('Well calls each plate'!D3)+4)))
)</f>
        <v>1000</v>
      </c>
      <c r="E3" s="34" cm="1">
        <f t="array" aca="1" ref="E3" ca="1">IF(
MOD('Well calls each plate'!E3,1)=0,
INDIRECT("'Plate map key'!"&amp;ADDRESS(ROW(),'Well calls each plate'!E3+3)),
AVERAGE(
    INDIRECT("'Plate map key'!"&amp;ADDRESS(ROW(),TRUNC('Well calls each plate'!E3)+3)),
    INDIRECT("'Plate map key'!"&amp;ADDRESS(ROW(),TRUNC('Well calls each plate'!E3)+4)))
)</f>
        <v>1000</v>
      </c>
      <c r="F3" s="34" cm="1">
        <f t="array" aca="1" ref="F3" ca="1">IF(
MOD('Well calls each plate'!F3,1)=0,
INDIRECT("'Plate map key'!"&amp;ADDRESS(ROW(),'Well calls each plate'!F3+3)),
AVERAGE(
    INDIRECT("'Plate map key'!"&amp;ADDRESS(ROW(),TRUNC('Well calls each plate'!F3)+3)),
    INDIRECT("'Plate map key'!"&amp;ADDRESS(ROW(),TRUNC('Well calls each plate'!F3)+4)))
)</f>
        <v>93.75</v>
      </c>
      <c r="G3" s="34" cm="1">
        <f t="array" aca="1" ref="G3" ca="1">IF(
MOD('Well calls each plate'!G3,1)=0,
INDIRECT("'Plate map key'!"&amp;ADDRESS(ROW(),'Well calls each plate'!G3+3)),
AVERAGE(
    INDIRECT("'Plate map key'!"&amp;ADDRESS(ROW(),TRUNC('Well calls each plate'!G3)+3)),
    INDIRECT("'Plate map key'!"&amp;ADDRESS(ROW(),TRUNC('Well calls each plate'!G3)+4)))
)</f>
        <v>93.75</v>
      </c>
      <c r="H3" s="34" cm="1">
        <f t="array" aca="1" ref="H3" ca="1">IF(
MOD('Well calls each plate'!H3,1)=0,
INDIRECT("'Plate map key'!"&amp;ADDRESS(ROW(),'Well calls each plate'!H3+3)),
AVERAGE(
    INDIRECT("'Plate map key'!"&amp;ADDRESS(ROW(),TRUNC('Well calls each plate'!H3)+3)),
    INDIRECT("'Plate map key'!"&amp;ADDRESS(ROW(),TRUNC('Well calls each plate'!H3)+4)))
)</f>
        <v>93.75</v>
      </c>
      <c r="I3" s="34" cm="1">
        <f t="array" aca="1" ref="I3" ca="1">IF(
MOD('Well calls each plate'!I3,1)=0,
INDIRECT("'Plate map key'!"&amp;ADDRESS(ROW(),'Well calls each plate'!I3+3)),
AVERAGE(
    INDIRECT("'Plate map key'!"&amp;ADDRESS(ROW(),TRUNC('Well calls each plate'!I3)+3)),
    INDIRECT("'Plate map key'!"&amp;ADDRESS(ROW(),TRUNC('Well calls each plate'!I3)+4)))
)</f>
        <v>2.9296875</v>
      </c>
      <c r="J3" s="34" cm="1">
        <f t="array" aca="1" ref="J3" ca="1">IF(
MOD('Well calls each plate'!J3,1)=0,
INDIRECT("'Plate map key'!"&amp;ADDRESS(ROW(),'Well calls each plate'!J3+3)),
AVERAGE(
    INDIRECT("'Plate map key'!"&amp;ADDRESS(ROW(),TRUNC('Well calls each plate'!J3)+3)),
    INDIRECT("'Plate map key'!"&amp;ADDRESS(ROW(),TRUNC('Well calls each plate'!J3)+4)))
)</f>
        <v>2.9296875</v>
      </c>
      <c r="K3" s="34" cm="1">
        <f t="array" aca="1" ref="K3" ca="1">IF(
MOD('Well calls each plate'!K3,1)=0,
INDIRECT("'Plate map key'!"&amp;ADDRESS(ROW(),'Well calls each plate'!K3+3)),
AVERAGE(
    INDIRECT("'Plate map key'!"&amp;ADDRESS(ROW(),TRUNC('Well calls each plate'!K3)+3)),
    INDIRECT("'Plate map key'!"&amp;ADDRESS(ROW(),TRUNC('Well calls each plate'!K3)+4)))
)</f>
        <v>2.9296875</v>
      </c>
      <c r="L3" s="34" cm="1">
        <f t="array" aca="1" ref="L3" ca="1">IF(
MOD('Well calls each plate'!L3,1)=0,
INDIRECT("'Plate map key'!"&amp;ADDRESS(ROW(),'Well calls each plate'!L3+3)),
AVERAGE(
    INDIRECT("'Plate map key'!"&amp;ADDRESS(ROW(),TRUNC('Well calls each plate'!L3)+3)),
    INDIRECT("'Plate map key'!"&amp;ADDRESS(ROW(),TRUNC('Well calls each plate'!L3)+4)))
)</f>
        <v>5.859375</v>
      </c>
      <c r="M3" s="34" cm="1">
        <f t="array" aca="1" ref="M3" ca="1">IF(
MOD('Well calls each plate'!M3,1)=0,
INDIRECT("'Plate map key'!"&amp;ADDRESS(ROW(),'Well calls each plate'!M3+3)),
AVERAGE(
    INDIRECT("'Plate map key'!"&amp;ADDRESS(ROW(),TRUNC('Well calls each plate'!M3)+3)),
    INDIRECT("'Plate map key'!"&amp;ADDRESS(ROW(),TRUNC('Well calls each plate'!M3)+4)))
)</f>
        <v>2.9296875</v>
      </c>
      <c r="N3" s="34" cm="1">
        <f t="array" aca="1" ref="N3" ca="1">IF(
MOD('Well calls each plate'!N3,1)=0,
INDIRECT("'Plate map key'!"&amp;ADDRESS(ROW(),'Well calls each plate'!N3+3)),
AVERAGE(
    INDIRECT("'Plate map key'!"&amp;ADDRESS(ROW(),TRUNC('Well calls each plate'!N3)+3)),
    INDIRECT("'Plate map key'!"&amp;ADDRESS(ROW(),TRUNC('Well calls each plate'!N3)+4)))
)</f>
        <v>2.9296875</v>
      </c>
      <c r="O3" s="34" cm="1">
        <f t="array" aca="1" ref="O3" ca="1">IF(
MOD('Well calls each plate'!O3,1)=0,
INDIRECT("'Plate map key'!"&amp;ADDRESS(ROW(),'Well calls each plate'!O3+3)),
AVERAGE(
    INDIRECT("'Plate map key'!"&amp;ADDRESS(ROW(),TRUNC('Well calls each plate'!O3)+3)),
    INDIRECT("'Plate map key'!"&amp;ADDRESS(ROW(),TRUNC('Well calls each plate'!O3)+4)))
)</f>
        <v>3.90625</v>
      </c>
      <c r="P3" s="34" cm="1">
        <f t="array" aca="1" ref="P3" ca="1">IF(
MOD('Well calls each plate'!P3,1)=0,
INDIRECT("'Plate map key'!"&amp;ADDRESS(ROW(),'Well calls each plate'!P3+3)),
AVERAGE(
    INDIRECT("'Plate map key'!"&amp;ADDRESS(ROW(),TRUNC('Well calls each plate'!P3)+3)),
    INDIRECT("'Plate map key'!"&amp;ADDRESS(ROW(),TRUNC('Well calls each plate'!P3)+4)))
)</f>
        <v>3.90625</v>
      </c>
      <c r="Q3" s="34" cm="1">
        <f t="array" aca="1" ref="Q3" ca="1">IF(
MOD('Well calls each plate'!Q3,1)=0,
INDIRECT("'Plate map key'!"&amp;ADDRESS(ROW(),'Well calls each plate'!Q3+3)),
AVERAGE(
    INDIRECT("'Plate map key'!"&amp;ADDRESS(ROW(),TRUNC('Well calls each plate'!Q3)+3)),
    INDIRECT("'Plate map key'!"&amp;ADDRESS(ROW(),TRUNC('Well calls each plate'!Q3)+4)))
)</f>
        <v>3.90625</v>
      </c>
      <c r="R3" s="34" cm="1">
        <f t="array" aca="1" ref="R3" ca="1">IF(
MOD('Well calls each plate'!R3,1)=0,
INDIRECT("'Plate map key'!"&amp;ADDRESS(ROW(),'Well calls each plate'!R3+3)),
AVERAGE(
    INDIRECT("'Plate map key'!"&amp;ADDRESS(ROW(),TRUNC('Well calls each plate'!R3)+3)),
    INDIRECT("'Plate map key'!"&amp;ADDRESS(ROW(),TRUNC('Well calls each plate'!R3)+4)))
)</f>
        <v>0.244140625</v>
      </c>
      <c r="S3" s="34" cm="1">
        <f t="array" aca="1" ref="S3" ca="1">IF(
MOD('Well calls each plate'!S3,1)=0,
INDIRECT("'Plate map key'!"&amp;ADDRESS(ROW(),'Well calls each plate'!S3+3)),
AVERAGE(
    INDIRECT("'Plate map key'!"&amp;ADDRESS(ROW(),TRUNC('Well calls each plate'!S3)+3)),
    INDIRECT("'Plate map key'!"&amp;ADDRESS(ROW(),TRUNC('Well calls each plate'!S3)+4)))
)</f>
        <v>0.244140625</v>
      </c>
      <c r="T3" s="34" cm="1">
        <f t="array" aca="1" ref="T3" ca="1">IF(
MOD('Well calls each plate'!T3,1)=0,
INDIRECT("'Plate map key'!"&amp;ADDRESS(ROW(),'Well calls each plate'!T3+3)),
AVERAGE(
    INDIRECT("'Plate map key'!"&amp;ADDRESS(ROW(),TRUNC('Well calls each plate'!T3)+3)),
    INDIRECT("'Plate map key'!"&amp;ADDRESS(ROW(),TRUNC('Well calls each plate'!T3)+4)))
)</f>
        <v>0.244140625</v>
      </c>
      <c r="U3" s="34" cm="1">
        <f t="array" aca="1" ref="U3" ca="1">IF(
MOD('Well calls each plate'!U3,1)=0,
INDIRECT("'Plate map key'!"&amp;ADDRESS(ROW(),'Well calls each plate'!U3+3)),
AVERAGE(
    INDIRECT("'Plate map key'!"&amp;ADDRESS(ROW(),TRUNC('Well calls each plate'!U3)+3)),
    INDIRECT("'Plate map key'!"&amp;ADDRESS(ROW(),TRUNC('Well calls each plate'!U3)+4)))
)</f>
        <v>1.953125</v>
      </c>
      <c r="V3" s="34" cm="1">
        <f t="array" aca="1" ref="V3" ca="1">IF(
MOD('Well calls each plate'!V3,1)=0,
INDIRECT("'Plate map key'!"&amp;ADDRESS(ROW(),'Well calls each plate'!V3+3)),
AVERAGE(
    INDIRECT("'Plate map key'!"&amp;ADDRESS(ROW(),TRUNC('Well calls each plate'!V3)+3)),
    INDIRECT("'Plate map key'!"&amp;ADDRESS(ROW(),TRUNC('Well calls each plate'!V3)+4)))
)</f>
        <v>1.953125</v>
      </c>
      <c r="W3" s="34" cm="1">
        <f t="array" aca="1" ref="W3" ca="1">IF(
MOD('Well calls each plate'!W3,1)=0,
INDIRECT("'Plate map key'!"&amp;ADDRESS(ROW(),'Well calls each plate'!W3+3)),
AVERAGE(
    INDIRECT("'Plate map key'!"&amp;ADDRESS(ROW(),TRUNC('Well calls each plate'!W3)+3)),
    INDIRECT("'Plate map key'!"&amp;ADDRESS(ROW(),TRUNC('Well calls each plate'!W3)+4)))
)</f>
        <v>1.46484375</v>
      </c>
      <c r="X3" s="34" cm="1">
        <f t="array" aca="1" ref="X3" ca="1">IF(
MOD('Well calls each plate'!X3,1)=0,
INDIRECT("'Plate map key'!"&amp;ADDRESS(ROW(),'Well calls each plate'!X3+3)),
AVERAGE(
    INDIRECT("'Plate map key'!"&amp;ADDRESS(ROW(),TRUNC('Well calls each plate'!X3)+3)),
    INDIRECT("'Plate map key'!"&amp;ADDRESS(ROW(),TRUNC('Well calls each plate'!X3)+4)))
)</f>
        <v>2.9296875</v>
      </c>
      <c r="Y3" s="34" cm="1">
        <f t="array" aca="1" ref="Y3" ca="1">IF(
MOD('Well calls each plate'!Y3,1)=0,
INDIRECT("'Plate map key'!"&amp;ADDRESS(ROW(),'Well calls each plate'!Y3+3)),
AVERAGE(
    INDIRECT("'Plate map key'!"&amp;ADDRESS(ROW(),TRUNC('Well calls each plate'!Y3)+3)),
    INDIRECT("'Plate map key'!"&amp;ADDRESS(ROW(),TRUNC('Well calls each plate'!Y3)+4)))
)</f>
        <v>2.9296875</v>
      </c>
      <c r="Z3" s="34" cm="1">
        <f t="array" aca="1" ref="Z3" ca="1">IF(
MOD('Well calls each plate'!Z3,1)=0,
INDIRECT("'Plate map key'!"&amp;ADDRESS(ROW(),'Well calls each plate'!Z3+3)),
AVERAGE(
    INDIRECT("'Plate map key'!"&amp;ADDRESS(ROW(),TRUNC('Well calls each plate'!Z3)+3)),
    INDIRECT("'Plate map key'!"&amp;ADDRESS(ROW(),TRUNC('Well calls each plate'!Z3)+4)))
)</f>
        <v>2.9296875</v>
      </c>
      <c r="AA3" s="34" cm="1">
        <f t="array" aca="1" ref="AA3" ca="1">IF(
MOD('Well calls each plate'!AA3,1)=0,
INDIRECT("'Plate map key'!"&amp;ADDRESS(ROW(),'Well calls each plate'!AA3+3)),
AVERAGE(
    INDIRECT("'Plate map key'!"&amp;ADDRESS(ROW(),TRUNC('Well calls each plate'!AA3)+3)),
    INDIRECT("'Plate map key'!"&amp;ADDRESS(ROW(),TRUNC('Well calls each plate'!AA3)+4)))
)</f>
        <v>11.71875</v>
      </c>
      <c r="AB3" s="34" cm="1">
        <f t="array" aca="1" ref="AB3" ca="1">IF(
MOD('Well calls each plate'!AB3,1)=0,
INDIRECT("'Plate map key'!"&amp;ADDRESS(ROW(),'Well calls each plate'!AB3+3)),
AVERAGE(
    INDIRECT("'Plate map key'!"&amp;ADDRESS(ROW(),TRUNC('Well calls each plate'!AB3)+3)),
    INDIRECT("'Plate map key'!"&amp;ADDRESS(ROW(),TRUNC('Well calls each plate'!AB3)+4)))
)</f>
        <v>11.71875</v>
      </c>
      <c r="AC3" s="35" t="str" cm="1">
        <f t="array" aca="1" ref="AC3" ca="1">IF(
MOD('Well calls each plate'!AC3,1)=0,
INDIRECT("'Plate map key'!"&amp;ADDRESS(ROW(),'Well calls each plate'!AC3+3)),
AVERAGE(
    INDIRECT("'Plate map key'!"&amp;ADDRESS(ROW(),TRUNC('Well calls each plate'!AC3)+3)),
    INDIRECT("'Plate map key'!"&amp;ADDRESS(ROW(),TRUNC('Well calls each plate'!AC3)+4)))
)</f>
        <v>A</v>
      </c>
      <c r="AD3" s="34" cm="1">
        <f t="array" aca="1" ref="AD3" ca="1">IF(
MOD('Well calls each plate'!AD3,1)=0,
INDIRECT("'Plate map key'!"&amp;ADDRESS(ROW(),'Well calls each plate'!AD3+3)),
AVERAGE(
    INDIRECT("'Plate map key'!"&amp;ADDRESS(ROW(),TRUNC('Well calls each plate'!AD3)+3)),
    INDIRECT("'Plate map key'!"&amp;ADDRESS(ROW(),TRUNC('Well calls each plate'!AD3)+4)))
)</f>
        <v>1000</v>
      </c>
      <c r="AE3" s="34" cm="1">
        <f t="array" aca="1" ref="AE3" ca="1">IF(
MOD('Well calls each plate'!AE3,1)=0,
INDIRECT("'Plate map key'!"&amp;ADDRESS(ROW(),'Well calls each plate'!AE3+3)),
AVERAGE(
    INDIRECT("'Plate map key'!"&amp;ADDRESS(ROW(),TRUNC('Well calls each plate'!AE3)+3)),
    INDIRECT("'Plate map key'!"&amp;ADDRESS(ROW(),TRUNC('Well calls each plate'!AE3)+4)))
)</f>
        <v>1000</v>
      </c>
      <c r="AF3" s="34" cm="1">
        <f t="array" aca="1" ref="AF3" ca="1">IF(
MOD('Well calls each plate'!AF3,1)=0,
INDIRECT("'Plate map key'!"&amp;ADDRESS(ROW(),'Well calls each plate'!AF3+3)),
AVERAGE(
    INDIRECT("'Plate map key'!"&amp;ADDRESS(ROW(),TRUNC('Well calls each plate'!AF3)+3)),
    INDIRECT("'Plate map key'!"&amp;ADDRESS(ROW(),TRUNC('Well calls each plate'!AF3)+4)))
)</f>
        <v>1000</v>
      </c>
      <c r="AG3" s="34" cm="1">
        <f t="array" aca="1" ref="AG3" ca="1">IF(
MOD('Well calls each plate'!AG3,1)=0,
INDIRECT("'Plate map key'!"&amp;ADDRESS(ROW(),'Well calls each plate'!AG3+3)),
AVERAGE(
    INDIRECT("'Plate map key'!"&amp;ADDRESS(ROW(),TRUNC('Well calls each plate'!AG3)+3)),
    INDIRECT("'Plate map key'!"&amp;ADDRESS(ROW(),TRUNC('Well calls each plate'!AG3)+4)))
)</f>
        <v>250</v>
      </c>
      <c r="AH3" s="34" cm="1">
        <f t="array" aca="1" ref="AH3" ca="1">IF(
MOD('Well calls each plate'!AH3,1)=0,
INDIRECT("'Plate map key'!"&amp;ADDRESS(ROW(),'Well calls each plate'!AH3+3)),
AVERAGE(
    INDIRECT("'Plate map key'!"&amp;ADDRESS(ROW(),TRUNC('Well calls each plate'!AH3)+3)),
    INDIRECT("'Plate map key'!"&amp;ADDRESS(ROW(),TRUNC('Well calls each plate'!AH3)+4)))
)</f>
        <v>250</v>
      </c>
      <c r="AI3" s="34" cm="1">
        <f t="array" aca="1" ref="AI3" ca="1">IF(
MOD('Well calls each plate'!AI3,1)=0,
INDIRECT("'Plate map key'!"&amp;ADDRESS(ROW(),'Well calls each plate'!AI3+3)),
AVERAGE(
    INDIRECT("'Plate map key'!"&amp;ADDRESS(ROW(),TRUNC('Well calls each plate'!AI3)+3)),
    INDIRECT("'Plate map key'!"&amp;ADDRESS(ROW(),TRUNC('Well calls each plate'!AI3)+4)))
)</f>
        <v>250</v>
      </c>
    </row>
    <row r="4" spans="2:35" x14ac:dyDescent="0.2">
      <c r="B4" t="s">
        <v>12</v>
      </c>
      <c r="C4" s="34" cm="1">
        <f t="array" aca="1" ref="C4" ca="1">IF(
MOD('Well calls each plate'!C4,1)=0,
INDIRECT("'Plate map key'!"&amp;ADDRESS(ROW(),'Well calls each plate'!C4+3)),
AVERAGE(
    INDIRECT("'Plate map key'!"&amp;ADDRESS(ROW(),TRUNC('Well calls each plate'!C4)+3)),
    INDIRECT("'Plate map key'!"&amp;ADDRESS(ROW(),TRUNC('Well calls each plate'!C4)+4)))
)</f>
        <v>0.46875</v>
      </c>
      <c r="D4" s="34" cm="1">
        <f t="array" aca="1" ref="D4" ca="1">IF(
MOD('Well calls each plate'!D4,1)=0,
INDIRECT("'Plate map key'!"&amp;ADDRESS(ROW(),'Well calls each plate'!D4+3)),
AVERAGE(
    INDIRECT("'Plate map key'!"&amp;ADDRESS(ROW(),TRUNC('Well calls each plate'!D4)+3)),
    INDIRECT("'Plate map key'!"&amp;ADDRESS(ROW(),TRUNC('Well calls each plate'!D4)+4)))
)</f>
        <v>0.703125</v>
      </c>
      <c r="E4" s="34" cm="1">
        <f t="array" aca="1" ref="E4" ca="1">IF(
MOD('Well calls each plate'!E4,1)=0,
INDIRECT("'Plate map key'!"&amp;ADDRESS(ROW(),'Well calls each plate'!E4+3)),
AVERAGE(
    INDIRECT("'Plate map key'!"&amp;ADDRESS(ROW(),TRUNC('Well calls each plate'!E4)+3)),
    INDIRECT("'Plate map key'!"&amp;ADDRESS(ROW(),TRUNC('Well calls each plate'!E4)+4)))
)</f>
        <v>0.703125</v>
      </c>
      <c r="F4" s="34" cm="1">
        <f t="array" aca="1" ref="F4" ca="1">IF(
MOD('Well calls each plate'!F4,1)=0,
INDIRECT("'Plate map key'!"&amp;ADDRESS(ROW(),'Well calls each plate'!F4+3)),
AVERAGE(
    INDIRECT("'Plate map key'!"&amp;ADDRESS(ROW(),TRUNC('Well calls each plate'!F4)+3)),
    INDIRECT("'Plate map key'!"&amp;ADDRESS(ROW(),TRUNC('Well calls each plate'!F4)+4)))
)</f>
        <v>0.46875</v>
      </c>
      <c r="G4" s="34" cm="1">
        <f t="array" aca="1" ref="G4" ca="1">IF(
MOD('Well calls each plate'!G4,1)=0,
INDIRECT("'Plate map key'!"&amp;ADDRESS(ROW(),'Well calls each plate'!G4+3)),
AVERAGE(
    INDIRECT("'Plate map key'!"&amp;ADDRESS(ROW(),TRUNC('Well calls each plate'!G4)+3)),
    INDIRECT("'Plate map key'!"&amp;ADDRESS(ROW(),TRUNC('Well calls each plate'!G4)+4)))
)</f>
        <v>0.46875</v>
      </c>
      <c r="H4" s="34" cm="1">
        <f t="array" aca="1" ref="H4" ca="1">IF(
MOD('Well calls each plate'!H4,1)=0,
INDIRECT("'Plate map key'!"&amp;ADDRESS(ROW(),'Well calls each plate'!H4+3)),
AVERAGE(
    INDIRECT("'Plate map key'!"&amp;ADDRESS(ROW(),TRUNC('Well calls each plate'!H4)+3)),
    INDIRECT("'Plate map key'!"&amp;ADDRESS(ROW(),TRUNC('Well calls each plate'!H4)+4)))
)</f>
        <v>0.46875</v>
      </c>
      <c r="I4" s="34" cm="1">
        <f t="array" aca="1" ref="I4" ca="1">IF(
MOD('Well calls each plate'!I4,1)=0,
INDIRECT("'Plate map key'!"&amp;ADDRESS(ROW(),'Well calls each plate'!I4+3)),
AVERAGE(
    INDIRECT("'Plate map key'!"&amp;ADDRESS(ROW(),TRUNC('Well calls each plate'!I4)+3)),
    INDIRECT("'Plate map key'!"&amp;ADDRESS(ROW(),TRUNC('Well calls each plate'!I4)+4)))
)</f>
        <v>2.8125</v>
      </c>
      <c r="J4" s="35" t="str" cm="1">
        <f t="array" aca="1" ref="J4" ca="1">IF(
MOD('Well calls each plate'!J4,1)=0,
INDIRECT("'Plate map key'!"&amp;ADDRESS(ROW(),'Well calls each plate'!J4+3)),
AVERAGE(
    INDIRECT("'Plate map key'!"&amp;ADDRESS(ROW(),TRUNC('Well calls each plate'!J4)+3)),
    INDIRECT("'Plate map key'!"&amp;ADDRESS(ROW(),TRUNC('Well calls each plate'!J4)+4)))
)</f>
        <v>B</v>
      </c>
      <c r="K4" s="35" t="str" cm="1">
        <f t="array" aca="1" ref="K4" ca="1">IF(
MOD('Well calls each plate'!K4,1)=0,
INDIRECT("'Plate map key'!"&amp;ADDRESS(ROW(),'Well calls each plate'!K4+3)),
AVERAGE(
    INDIRECT("'Plate map key'!"&amp;ADDRESS(ROW(),TRUNC('Well calls each plate'!K4)+3)),
    INDIRECT("'Plate map key'!"&amp;ADDRESS(ROW(),TRUNC('Well calls each plate'!K4)+4)))
)</f>
        <v>B</v>
      </c>
      <c r="L4" s="34" cm="1">
        <f t="array" aca="1" ref="L4" ca="1">IF(
MOD('Well calls each plate'!L4,1)=0,
INDIRECT("'Plate map key'!"&amp;ADDRESS(ROW(),'Well calls each plate'!L4+3)),
AVERAGE(
    INDIRECT("'Plate map key'!"&amp;ADDRESS(ROW(),TRUNC('Well calls each plate'!L4)+3)),
    INDIRECT("'Plate map key'!"&amp;ADDRESS(ROW(),TRUNC('Well calls each plate'!L4)+4)))
)</f>
        <v>2.8125</v>
      </c>
      <c r="M4" s="34" cm="1">
        <f t="array" aca="1" ref="M4" ca="1">IF(
MOD('Well calls each plate'!M4,1)=0,
INDIRECT("'Plate map key'!"&amp;ADDRESS(ROW(),'Well calls each plate'!M4+3)),
AVERAGE(
    INDIRECT("'Plate map key'!"&amp;ADDRESS(ROW(),TRUNC('Well calls each plate'!M4)+3)),
    INDIRECT("'Plate map key'!"&amp;ADDRESS(ROW(),TRUNC('Well calls each plate'!M4)+4)))
)</f>
        <v>1.40625</v>
      </c>
      <c r="N4" s="34" cm="1">
        <f t="array" aca="1" ref="N4" ca="1">IF(
MOD('Well calls each plate'!N4,1)=0,
INDIRECT("'Plate map key'!"&amp;ADDRESS(ROW(),'Well calls each plate'!N4+3)),
AVERAGE(
    INDIRECT("'Plate map key'!"&amp;ADDRESS(ROW(),TRUNC('Well calls each plate'!N4)+3)),
    INDIRECT("'Plate map key'!"&amp;ADDRESS(ROW(),TRUNC('Well calls each plate'!N4)+4)))
)</f>
        <v>0.9375</v>
      </c>
      <c r="O4" s="34" cm="1">
        <f t="array" aca="1" ref="O4" ca="1">IF(
MOD('Well calls each plate'!O4,1)=0,
INDIRECT("'Plate map key'!"&amp;ADDRESS(ROW(),'Well calls each plate'!O4+3)),
AVERAGE(
    INDIRECT("'Plate map key'!"&amp;ADDRESS(ROW(),TRUNC('Well calls each plate'!O4)+3)),
    INDIRECT("'Plate map key'!"&amp;ADDRESS(ROW(),TRUNC('Well calls each plate'!O4)+4)))
)</f>
        <v>1.875</v>
      </c>
      <c r="P4" s="34" cm="1">
        <f t="array" aca="1" ref="P4" ca="1">IF(
MOD('Well calls each plate'!P4,1)=0,
INDIRECT("'Plate map key'!"&amp;ADDRESS(ROW(),'Well calls each plate'!P4+3)),
AVERAGE(
    INDIRECT("'Plate map key'!"&amp;ADDRESS(ROW(),TRUNC('Well calls each plate'!P4)+3)),
    INDIRECT("'Plate map key'!"&amp;ADDRESS(ROW(),TRUNC('Well calls each plate'!P4)+4)))
)</f>
        <v>1.875</v>
      </c>
      <c r="Q4" s="34" cm="1">
        <f t="array" aca="1" ref="Q4" ca="1">IF(
MOD('Well calls each plate'!Q4,1)=0,
INDIRECT("'Plate map key'!"&amp;ADDRESS(ROW(),'Well calls each plate'!Q4+3)),
AVERAGE(
    INDIRECT("'Plate map key'!"&amp;ADDRESS(ROW(),TRUNC('Well calls each plate'!Q4)+3)),
    INDIRECT("'Plate map key'!"&amp;ADDRESS(ROW(),TRUNC('Well calls each plate'!Q4)+4)))
)</f>
        <v>1.875</v>
      </c>
      <c r="R4" s="34" cm="1">
        <f t="array" aca="1" ref="R4" ca="1">IF(
MOD('Well calls each plate'!R4,1)=0,
INDIRECT("'Plate map key'!"&amp;ADDRESS(ROW(),'Well calls each plate'!R4+3)),
AVERAGE(
    INDIRECT("'Plate map key'!"&amp;ADDRESS(ROW(),TRUNC('Well calls each plate'!R4)+3)),
    INDIRECT("'Plate map key'!"&amp;ADDRESS(ROW(),TRUNC('Well calls each plate'!R4)+4)))
)</f>
        <v>0.46875</v>
      </c>
      <c r="S4" s="34" cm="1">
        <f t="array" aca="1" ref="S4" ca="1">IF(
MOD('Well calls each plate'!S4,1)=0,
INDIRECT("'Plate map key'!"&amp;ADDRESS(ROW(),'Well calls each plate'!S4+3)),
AVERAGE(
    INDIRECT("'Plate map key'!"&amp;ADDRESS(ROW(),TRUNC('Well calls each plate'!S4)+3)),
    INDIRECT("'Plate map key'!"&amp;ADDRESS(ROW(),TRUNC('Well calls each plate'!S4)+4)))
)</f>
        <v>0.46875</v>
      </c>
      <c r="T4" s="34" cm="1">
        <f t="array" aca="1" ref="T4" ca="1">IF(
MOD('Well calls each plate'!T4,1)=0,
INDIRECT("'Plate map key'!"&amp;ADDRESS(ROW(),'Well calls each plate'!T4+3)),
AVERAGE(
    INDIRECT("'Plate map key'!"&amp;ADDRESS(ROW(),TRUNC('Well calls each plate'!T4)+3)),
    INDIRECT("'Plate map key'!"&amp;ADDRESS(ROW(),TRUNC('Well calls each plate'!T4)+4)))
)</f>
        <v>0.46875</v>
      </c>
      <c r="U4" s="34" cm="1">
        <f t="array" aca="1" ref="U4" ca="1">IF(
MOD('Well calls each plate'!U4,1)=0,
INDIRECT("'Plate map key'!"&amp;ADDRESS(ROW(),'Well calls each plate'!U4+3)),
AVERAGE(
    INDIRECT("'Plate map key'!"&amp;ADDRESS(ROW(),TRUNC('Well calls each plate'!U4)+3)),
    INDIRECT("'Plate map key'!"&amp;ADDRESS(ROW(),TRUNC('Well calls each plate'!U4)+4)))
)</f>
        <v>0.46875</v>
      </c>
      <c r="V4" s="34" cm="1">
        <f t="array" aca="1" ref="V4" ca="1">IF(
MOD('Well calls each plate'!V4,1)=0,
INDIRECT("'Plate map key'!"&amp;ADDRESS(ROW(),'Well calls each plate'!V4+3)),
AVERAGE(
    INDIRECT("'Plate map key'!"&amp;ADDRESS(ROW(),TRUNC('Well calls each plate'!V4)+3)),
    INDIRECT("'Plate map key'!"&amp;ADDRESS(ROW(),TRUNC('Well calls each plate'!V4)+4)))
)</f>
        <v>0.46875</v>
      </c>
      <c r="W4" s="34" cm="1">
        <f t="array" aca="1" ref="W4" ca="1">IF(
MOD('Well calls each plate'!W4,1)=0,
INDIRECT("'Plate map key'!"&amp;ADDRESS(ROW(),'Well calls each plate'!W4+3)),
AVERAGE(
    INDIRECT("'Plate map key'!"&amp;ADDRESS(ROW(),TRUNC('Well calls each plate'!W4)+3)),
    INDIRECT("'Plate map key'!"&amp;ADDRESS(ROW(),TRUNC('Well calls each plate'!W4)+4)))
)</f>
        <v>0.46875</v>
      </c>
      <c r="X4" s="34" cm="1">
        <f t="array" aca="1" ref="X4" ca="1">IF(
MOD('Well calls each plate'!X4,1)=0,
INDIRECT("'Plate map key'!"&amp;ADDRESS(ROW(),'Well calls each plate'!X4+3)),
AVERAGE(
    INDIRECT("'Plate map key'!"&amp;ADDRESS(ROW(),TRUNC('Well calls each plate'!X4)+3)),
    INDIRECT("'Plate map key'!"&amp;ADDRESS(ROW(),TRUNC('Well calls each plate'!X4)+4)))
)</f>
        <v>1.40625</v>
      </c>
      <c r="Y4" s="34" cm="1">
        <f t="array" aca="1" ref="Y4" ca="1">IF(
MOD('Well calls each plate'!Y4,1)=0,
INDIRECT("'Plate map key'!"&amp;ADDRESS(ROW(),'Well calls each plate'!Y4+3)),
AVERAGE(
    INDIRECT("'Plate map key'!"&amp;ADDRESS(ROW(),TRUNC('Well calls each plate'!Y4)+3)),
    INDIRECT("'Plate map key'!"&amp;ADDRESS(ROW(),TRUNC('Well calls each plate'!Y4)+4)))
)</f>
        <v>1.40625</v>
      </c>
      <c r="Z4" s="34" cm="1">
        <f t="array" aca="1" ref="Z4" ca="1">IF(
MOD('Well calls each plate'!Z4,1)=0,
INDIRECT("'Plate map key'!"&amp;ADDRESS(ROW(),'Well calls each plate'!Z4+3)),
AVERAGE(
    INDIRECT("'Plate map key'!"&amp;ADDRESS(ROW(),TRUNC('Well calls each plate'!Z4)+3)),
    INDIRECT("'Plate map key'!"&amp;ADDRESS(ROW(),TRUNC('Well calls each plate'!Z4)+4)))
)</f>
        <v>1.40625</v>
      </c>
      <c r="AA4" s="34" cm="1">
        <f t="array" aca="1" ref="AA4" ca="1">IF(
MOD('Well calls each plate'!AA4,1)=0,
INDIRECT("'Plate map key'!"&amp;ADDRESS(ROW(),'Well calls each plate'!AA4+3)),
AVERAGE(
    INDIRECT("'Plate map key'!"&amp;ADDRESS(ROW(),TRUNC('Well calls each plate'!AA4)+3)),
    INDIRECT("'Plate map key'!"&amp;ADDRESS(ROW(),TRUNC('Well calls each plate'!AA4)+4)))
)</f>
        <v>1.875</v>
      </c>
      <c r="AB4" s="34" cm="1">
        <f t="array" aca="1" ref="AB4" ca="1">IF(
MOD('Well calls each plate'!AB4,1)=0,
INDIRECT("'Plate map key'!"&amp;ADDRESS(ROW(),'Well calls each plate'!AB4+3)),
AVERAGE(
    INDIRECT("'Plate map key'!"&amp;ADDRESS(ROW(),TRUNC('Well calls each plate'!AB4)+3)),
    INDIRECT("'Plate map key'!"&amp;ADDRESS(ROW(),TRUNC('Well calls each plate'!AB4)+4)))
)</f>
        <v>1.875</v>
      </c>
      <c r="AC4" s="35" t="str" cm="1">
        <f t="array" aca="1" ref="AC4" ca="1">IF(
MOD('Well calls each plate'!AC4,1)=0,
INDIRECT("'Plate map key'!"&amp;ADDRESS(ROW(),'Well calls each plate'!AC4+3)),
AVERAGE(
    INDIRECT("'Plate map key'!"&amp;ADDRESS(ROW(),TRUNC('Well calls each plate'!AC4)+3)),
    INDIRECT("'Plate map key'!"&amp;ADDRESS(ROW(),TRUNC('Well calls each plate'!AC4)+4)))
)</f>
        <v>B</v>
      </c>
      <c r="AD4" s="34" cm="1">
        <f t="array" aca="1" ref="AD4" ca="1">IF(
MOD('Well calls each plate'!AD4,1)=0,
INDIRECT("'Plate map key'!"&amp;ADDRESS(ROW(),'Well calls each plate'!AD4+3)),
AVERAGE(
    INDIRECT("'Plate map key'!"&amp;ADDRESS(ROW(),TRUNC('Well calls each plate'!AD4)+3)),
    INDIRECT("'Plate map key'!"&amp;ADDRESS(ROW(),TRUNC('Well calls each plate'!AD4)+4)))
)</f>
        <v>0.46875</v>
      </c>
      <c r="AE4" s="34" cm="1">
        <f t="array" aca="1" ref="AE4" ca="1">IF(
MOD('Well calls each plate'!AE4,1)=0,
INDIRECT("'Plate map key'!"&amp;ADDRESS(ROW(),'Well calls each plate'!AE4+3)),
AVERAGE(
    INDIRECT("'Plate map key'!"&amp;ADDRESS(ROW(),TRUNC('Well calls each plate'!AE4)+3)),
    INDIRECT("'Plate map key'!"&amp;ADDRESS(ROW(),TRUNC('Well calls each plate'!AE4)+4)))
)</f>
        <v>0.46875</v>
      </c>
      <c r="AF4" s="34" cm="1">
        <f t="array" aca="1" ref="AF4" ca="1">IF(
MOD('Well calls each plate'!AF4,1)=0,
INDIRECT("'Plate map key'!"&amp;ADDRESS(ROW(),'Well calls each plate'!AF4+3)),
AVERAGE(
    INDIRECT("'Plate map key'!"&amp;ADDRESS(ROW(),TRUNC('Well calls each plate'!AF4)+3)),
    INDIRECT("'Plate map key'!"&amp;ADDRESS(ROW(),TRUNC('Well calls each plate'!AF4)+4)))
)</f>
        <v>0.46875</v>
      </c>
      <c r="AG4" s="34" cm="1">
        <f t="array" aca="1" ref="AG4" ca="1">IF(
MOD('Well calls each plate'!AG4,1)=0,
INDIRECT("'Plate map key'!"&amp;ADDRESS(ROW(),'Well calls each plate'!AG4+3)),
AVERAGE(
    INDIRECT("'Plate map key'!"&amp;ADDRESS(ROW(),TRUNC('Well calls each plate'!AG4)+3)),
    INDIRECT("'Plate map key'!"&amp;ADDRESS(ROW(),TRUNC('Well calls each plate'!AG4)+4)))
)</f>
        <v>0.9375</v>
      </c>
      <c r="AH4" s="34" cm="1">
        <f t="array" aca="1" ref="AH4" ca="1">IF(
MOD('Well calls each plate'!AH4,1)=0,
INDIRECT("'Plate map key'!"&amp;ADDRESS(ROW(),'Well calls each plate'!AH4+3)),
AVERAGE(
    INDIRECT("'Plate map key'!"&amp;ADDRESS(ROW(),TRUNC('Well calls each plate'!AH4)+3)),
    INDIRECT("'Plate map key'!"&amp;ADDRESS(ROW(),TRUNC('Well calls each plate'!AH4)+4)))
)</f>
        <v>0.9375</v>
      </c>
      <c r="AI4" s="34" cm="1">
        <f t="array" aca="1" ref="AI4" ca="1">IF(
MOD('Well calls each plate'!AI4,1)=0,
INDIRECT("'Plate map key'!"&amp;ADDRESS(ROW(),'Well calls each plate'!AI4+3)),
AVERAGE(
    INDIRECT("'Plate map key'!"&amp;ADDRESS(ROW(),TRUNC('Well calls each plate'!AI4)+3)),
    INDIRECT("'Plate map key'!"&amp;ADDRESS(ROW(),TRUNC('Well calls each plate'!AI4)+4)))
)</f>
        <v>0.9375</v>
      </c>
    </row>
    <row r="5" spans="2:35" x14ac:dyDescent="0.2">
      <c r="B5" t="s">
        <v>13</v>
      </c>
      <c r="C5" s="34" cm="1">
        <f t="array" aca="1" ref="C5" ca="1">IF(
MOD('Well calls each plate'!C5,1)=0,
INDIRECT("'Plate map key'!"&amp;ADDRESS(ROW(),'Well calls each plate'!C5+3)),
AVERAGE(
    INDIRECT("'Plate map key'!"&amp;ADDRESS(ROW(),TRUNC('Well calls each plate'!C5)+3)),
    INDIRECT("'Plate map key'!"&amp;ADDRESS(ROW(),TRUNC('Well calls each plate'!C5)+4)))
)</f>
        <v>0.3125</v>
      </c>
      <c r="D5" s="34" cm="1">
        <f t="array" aca="1" ref="D5" ca="1">IF(
MOD('Well calls each plate'!D5,1)=0,
INDIRECT("'Plate map key'!"&amp;ADDRESS(ROW(),'Well calls each plate'!D5+3)),
AVERAGE(
    INDIRECT("'Plate map key'!"&amp;ADDRESS(ROW(),TRUNC('Well calls each plate'!D5)+3)),
    INDIRECT("'Plate map key'!"&amp;ADDRESS(ROW(),TRUNC('Well calls each plate'!D5)+4)))
)</f>
        <v>0.3125</v>
      </c>
      <c r="E5" s="34" cm="1">
        <f t="array" aca="1" ref="E5" ca="1">IF(
MOD('Well calls each plate'!E5,1)=0,
INDIRECT("'Plate map key'!"&amp;ADDRESS(ROW(),'Well calls each plate'!E5+3)),
AVERAGE(
    INDIRECT("'Plate map key'!"&amp;ADDRESS(ROW(),TRUNC('Well calls each plate'!E5)+3)),
    INDIRECT("'Plate map key'!"&amp;ADDRESS(ROW(),TRUNC('Well calls each plate'!E5)+4)))
)</f>
        <v>0.3125</v>
      </c>
      <c r="F5" s="34" cm="1">
        <f t="array" aca="1" ref="F5" ca="1">IF(
MOD('Well calls each plate'!F5,1)=0,
INDIRECT("'Plate map key'!"&amp;ADDRESS(ROW(),'Well calls each plate'!F5+3)),
AVERAGE(
    INDIRECT("'Plate map key'!"&amp;ADDRESS(ROW(),TRUNC('Well calls each plate'!F5)+3)),
    INDIRECT("'Plate map key'!"&amp;ADDRESS(ROW(),TRUNC('Well calls each plate'!F5)+4)))
)</f>
        <v>0.15625</v>
      </c>
      <c r="G5" s="34" cm="1">
        <f t="array" aca="1" ref="G5" ca="1">IF(
MOD('Well calls each plate'!G5,1)=0,
INDIRECT("'Plate map key'!"&amp;ADDRESS(ROW(),'Well calls each plate'!G5+3)),
AVERAGE(
    INDIRECT("'Plate map key'!"&amp;ADDRESS(ROW(),TRUNC('Well calls each plate'!G5)+3)),
    INDIRECT("'Plate map key'!"&amp;ADDRESS(ROW(),TRUNC('Well calls each plate'!G5)+4)))
)</f>
        <v>0.15625</v>
      </c>
      <c r="H5" s="34" cm="1">
        <f t="array" aca="1" ref="H5" ca="1">IF(
MOD('Well calls each plate'!H5,1)=0,
INDIRECT("'Plate map key'!"&amp;ADDRESS(ROW(),'Well calls each plate'!H5+3)),
AVERAGE(
    INDIRECT("'Plate map key'!"&amp;ADDRESS(ROW(),TRUNC('Well calls each plate'!H5)+3)),
    INDIRECT("'Plate map key'!"&amp;ADDRESS(ROW(),TRUNC('Well calls each plate'!H5)+4)))
)</f>
        <v>0.15625</v>
      </c>
      <c r="I5" s="34" cm="1">
        <f t="array" aca="1" ref="I5" ca="1">IF(
MOD('Well calls each plate'!I5,1)=0,
INDIRECT("'Plate map key'!"&amp;ADDRESS(ROW(),'Well calls each plate'!I5+3)),
AVERAGE(
    INDIRECT("'Plate map key'!"&amp;ADDRESS(ROW(),TRUNC('Well calls each plate'!I5)+3)),
    INDIRECT("'Plate map key'!"&amp;ADDRESS(ROW(),TRUNC('Well calls each plate'!I5)+4)))
)</f>
        <v>3.90625E-2</v>
      </c>
      <c r="J5" s="34" cm="1">
        <f t="array" aca="1" ref="J5" ca="1">IF(
MOD('Well calls each plate'!J5,1)=0,
INDIRECT("'Plate map key'!"&amp;ADDRESS(ROW(),'Well calls each plate'!J5+3)),
AVERAGE(
    INDIRECT("'Plate map key'!"&amp;ADDRESS(ROW(),TRUNC('Well calls each plate'!J5)+3)),
    INDIRECT("'Plate map key'!"&amp;ADDRESS(ROW(),TRUNC('Well calls each plate'!J5)+4)))
)</f>
        <v>3.90625E-2</v>
      </c>
      <c r="K5" s="34" cm="1">
        <f t="array" aca="1" ref="K5" ca="1">IF(
MOD('Well calls each plate'!K5,1)=0,
INDIRECT("'Plate map key'!"&amp;ADDRESS(ROW(),'Well calls each plate'!K5+3)),
AVERAGE(
    INDIRECT("'Plate map key'!"&amp;ADDRESS(ROW(),TRUNC('Well calls each plate'!K5)+3)),
    INDIRECT("'Plate map key'!"&amp;ADDRESS(ROW(),TRUNC('Well calls each plate'!K5)+4)))
)</f>
        <v>3.90625E-2</v>
      </c>
      <c r="L5" s="34" cm="1">
        <f t="array" aca="1" ref="L5" ca="1">IF(
MOD('Well calls each plate'!L5,1)=0,
INDIRECT("'Plate map key'!"&amp;ADDRESS(ROW(),'Well calls each plate'!L5+3)),
AVERAGE(
    INDIRECT("'Plate map key'!"&amp;ADDRESS(ROW(),TRUNC('Well calls each plate'!L5)+3)),
    INDIRECT("'Plate map key'!"&amp;ADDRESS(ROW(),TRUNC('Well calls each plate'!L5)+4)))
)</f>
        <v>0.1171875</v>
      </c>
      <c r="M5" s="34" cm="1">
        <f t="array" aca="1" ref="M5" ca="1">IF(
MOD('Well calls each plate'!M5,1)=0,
INDIRECT("'Plate map key'!"&amp;ADDRESS(ROW(),'Well calls each plate'!M5+3)),
AVERAGE(
    INDIRECT("'Plate map key'!"&amp;ADDRESS(ROW(),TRUNC('Well calls each plate'!M5)+3)),
    INDIRECT("'Plate map key'!"&amp;ADDRESS(ROW(),TRUNC('Well calls each plate'!M5)+4)))
)</f>
        <v>5.859375E-2</v>
      </c>
      <c r="N5" s="34" cm="1">
        <f t="array" aca="1" ref="N5" ca="1">IF(
MOD('Well calls each plate'!N5,1)=0,
INDIRECT("'Plate map key'!"&amp;ADDRESS(ROW(),'Well calls each plate'!N5+3)),
AVERAGE(
    INDIRECT("'Plate map key'!"&amp;ADDRESS(ROW(),TRUNC('Well calls each plate'!N5)+3)),
    INDIRECT("'Plate map key'!"&amp;ADDRESS(ROW(),TRUNC('Well calls each plate'!N5)+4)))
)</f>
        <v>7.8125E-2</v>
      </c>
      <c r="O5" s="34" cm="1">
        <f t="array" aca="1" ref="O5" ca="1">IF(
MOD('Well calls each plate'!O5,1)=0,
INDIRECT("'Plate map key'!"&amp;ADDRESS(ROW(),'Well calls each plate'!O5+3)),
AVERAGE(
    INDIRECT("'Plate map key'!"&amp;ADDRESS(ROW(),TRUNC('Well calls each plate'!O5)+3)),
    INDIRECT("'Plate map key'!"&amp;ADDRESS(ROW(),TRUNC('Well calls each plate'!O5)+4)))
)</f>
        <v>7.8125E-2</v>
      </c>
      <c r="P5" s="34" cm="1">
        <f t="array" aca="1" ref="P5" ca="1">IF(
MOD('Well calls each plate'!P5,1)=0,
INDIRECT("'Plate map key'!"&amp;ADDRESS(ROW(),'Well calls each plate'!P5+3)),
AVERAGE(
    INDIRECT("'Plate map key'!"&amp;ADDRESS(ROW(),TRUNC('Well calls each plate'!P5)+3)),
    INDIRECT("'Plate map key'!"&amp;ADDRESS(ROW(),TRUNC('Well calls each plate'!P5)+4)))
)</f>
        <v>7.8125E-2</v>
      </c>
      <c r="Q5" s="34" cm="1">
        <f t="array" aca="1" ref="Q5" ca="1">IF(
MOD('Well calls each plate'!Q5,1)=0,
INDIRECT("'Plate map key'!"&amp;ADDRESS(ROW(),'Well calls each plate'!Q5+3)),
AVERAGE(
    INDIRECT("'Plate map key'!"&amp;ADDRESS(ROW(),TRUNC('Well calls each plate'!Q5)+3)),
    INDIRECT("'Plate map key'!"&amp;ADDRESS(ROW(),TRUNC('Well calls each plate'!Q5)+4)))
)</f>
        <v>5.859375E-2</v>
      </c>
      <c r="R5" s="34" cm="1">
        <f t="array" aca="1" ref="R5" ca="1">IF(
MOD('Well calls each plate'!R5,1)=0,
INDIRECT("'Plate map key'!"&amp;ADDRESS(ROW(),'Well calls each plate'!R5+3)),
AVERAGE(
    INDIRECT("'Plate map key'!"&amp;ADDRESS(ROW(),TRUNC('Well calls each plate'!R5)+3)),
    INDIRECT("'Plate map key'!"&amp;ADDRESS(ROW(),TRUNC('Well calls each plate'!R5)+4)))
)</f>
        <v>9.765625E-3</v>
      </c>
      <c r="S5" s="34" cm="1">
        <f t="array" aca="1" ref="S5" ca="1">IF(
MOD('Well calls each plate'!S5,1)=0,
INDIRECT("'Plate map key'!"&amp;ADDRESS(ROW(),'Well calls each plate'!S5+3)),
AVERAGE(
    INDIRECT("'Plate map key'!"&amp;ADDRESS(ROW(),TRUNC('Well calls each plate'!S5)+3)),
    INDIRECT("'Plate map key'!"&amp;ADDRESS(ROW(),TRUNC('Well calls each plate'!S5)+4)))
)</f>
        <v>9.765625E-3</v>
      </c>
      <c r="T5" s="34" cm="1">
        <f t="array" aca="1" ref="T5" ca="1">IF(
MOD('Well calls each plate'!T5,1)=0,
INDIRECT("'Plate map key'!"&amp;ADDRESS(ROW(),'Well calls each plate'!T5+3)),
AVERAGE(
    INDIRECT("'Plate map key'!"&amp;ADDRESS(ROW(),TRUNC('Well calls each plate'!T5)+3)),
    INDIRECT("'Plate map key'!"&amp;ADDRESS(ROW(),TRUNC('Well calls each plate'!T5)+4)))
)</f>
        <v>9.765625E-3</v>
      </c>
      <c r="U5" s="34" cm="1">
        <f t="array" aca="1" ref="U5" ca="1">IF(
MOD('Well calls each plate'!U5,1)=0,
INDIRECT("'Plate map key'!"&amp;ADDRESS(ROW(),'Well calls each plate'!U5+3)),
AVERAGE(
    INDIRECT("'Plate map key'!"&amp;ADDRESS(ROW(),TRUNC('Well calls each plate'!U5)+3)),
    INDIRECT("'Plate map key'!"&amp;ADDRESS(ROW(),TRUNC('Well calls each plate'!U5)+4)))
)</f>
        <v>1.953125E-2</v>
      </c>
      <c r="V5" s="34" cm="1">
        <f t="array" aca="1" ref="V5" ca="1">IF(
MOD('Well calls each plate'!V5,1)=0,
INDIRECT("'Plate map key'!"&amp;ADDRESS(ROW(),'Well calls each plate'!V5+3)),
AVERAGE(
    INDIRECT("'Plate map key'!"&amp;ADDRESS(ROW(),TRUNC('Well calls each plate'!V5)+3)),
    INDIRECT("'Plate map key'!"&amp;ADDRESS(ROW(),TRUNC('Well calls each plate'!V5)+4)))
)</f>
        <v>1.953125E-2</v>
      </c>
      <c r="W5" s="34" cm="1">
        <f t="array" aca="1" ref="W5" ca="1">IF(
MOD('Well calls each plate'!W5,1)=0,
INDIRECT("'Plate map key'!"&amp;ADDRESS(ROW(),'Well calls each plate'!W5+3)),
AVERAGE(
    INDIRECT("'Plate map key'!"&amp;ADDRESS(ROW(),TRUNC('Well calls each plate'!W5)+3)),
    INDIRECT("'Plate map key'!"&amp;ADDRESS(ROW(),TRUNC('Well calls each plate'!W5)+4)))
)</f>
        <v>1.953125E-2</v>
      </c>
      <c r="X5" s="34" cm="1">
        <f t="array" aca="1" ref="X5" ca="1">IF(
MOD('Well calls each plate'!X5,1)=0,
INDIRECT("'Plate map key'!"&amp;ADDRESS(ROW(),'Well calls each plate'!X5+3)),
AVERAGE(
    INDIRECT("'Plate map key'!"&amp;ADDRESS(ROW(),TRUNC('Well calls each plate'!X5)+3)),
    INDIRECT("'Plate map key'!"&amp;ADDRESS(ROW(),TRUNC('Well calls each plate'!X5)+4)))
)</f>
        <v>3.90625E-2</v>
      </c>
      <c r="Y5" s="34" cm="1">
        <f t="array" aca="1" ref="Y5" ca="1">IF(
MOD('Well calls each plate'!Y5,1)=0,
INDIRECT("'Plate map key'!"&amp;ADDRESS(ROW(),'Well calls each plate'!Y5+3)),
AVERAGE(
    INDIRECT("'Plate map key'!"&amp;ADDRESS(ROW(),TRUNC('Well calls each plate'!Y5)+3)),
    INDIRECT("'Plate map key'!"&amp;ADDRESS(ROW(),TRUNC('Well calls each plate'!Y5)+4)))
)</f>
        <v>3.90625E-2</v>
      </c>
      <c r="Z5" s="34" cm="1">
        <f t="array" aca="1" ref="Z5" ca="1">IF(
MOD('Well calls each plate'!Z5,1)=0,
INDIRECT("'Plate map key'!"&amp;ADDRESS(ROW(),'Well calls each plate'!Z5+3)),
AVERAGE(
    INDIRECT("'Plate map key'!"&amp;ADDRESS(ROW(),TRUNC('Well calls each plate'!Z5)+3)),
    INDIRECT("'Plate map key'!"&amp;ADDRESS(ROW(),TRUNC('Well calls each plate'!Z5)+4)))
)</f>
        <v>3.90625E-2</v>
      </c>
      <c r="AA5" s="34" cm="1">
        <f t="array" aca="1" ref="AA5" ca="1">IF(
MOD('Well calls each plate'!AA5,1)=0,
INDIRECT("'Plate map key'!"&amp;ADDRESS(ROW(),'Well calls each plate'!AA5+3)),
AVERAGE(
    INDIRECT("'Plate map key'!"&amp;ADDRESS(ROW(),TRUNC('Well calls each plate'!AA5)+3)),
    INDIRECT("'Plate map key'!"&amp;ADDRESS(ROW(),TRUNC('Well calls each plate'!AA5)+4)))
)</f>
        <v>7.8125E-2</v>
      </c>
      <c r="AB5" s="34" cm="1">
        <f t="array" aca="1" ref="AB5" ca="1">IF(
MOD('Well calls each plate'!AB5,1)=0,
INDIRECT("'Plate map key'!"&amp;ADDRESS(ROW(),'Well calls each plate'!AB5+3)),
AVERAGE(
    INDIRECT("'Plate map key'!"&amp;ADDRESS(ROW(),TRUNC('Well calls each plate'!AB5)+3)),
    INDIRECT("'Plate map key'!"&amp;ADDRESS(ROW(),TRUNC('Well calls each plate'!AB5)+4)))
)</f>
        <v>7.8125E-2</v>
      </c>
      <c r="AC5" s="35" t="str" cm="1">
        <f t="array" aca="1" ref="AC5" ca="1">IF(
MOD('Well calls each plate'!AC5,1)=0,
INDIRECT("'Plate map key'!"&amp;ADDRESS(ROW(),'Well calls each plate'!AC5+3)),
AVERAGE(
    INDIRECT("'Plate map key'!"&amp;ADDRESS(ROW(),TRUNC('Well calls each plate'!AC5)+3)),
    INDIRECT("'Plate map key'!"&amp;ADDRESS(ROW(),TRUNC('Well calls each plate'!AC5)+4)))
)</f>
        <v>C</v>
      </c>
      <c r="AD5" s="34" cm="1">
        <f t="array" aca="1" ref="AD5" ca="1">IF(
MOD('Well calls each plate'!AD5,1)=0,
INDIRECT("'Plate map key'!"&amp;ADDRESS(ROW(),'Well calls each plate'!AD5+3)),
AVERAGE(
    INDIRECT("'Plate map key'!"&amp;ADDRESS(ROW(),TRUNC('Well calls each plate'!AD5)+3)),
    INDIRECT("'Plate map key'!"&amp;ADDRESS(ROW(),TRUNC('Well calls each plate'!AD5)+4)))
)</f>
        <v>7.8125E-2</v>
      </c>
      <c r="AE5" s="34" cm="1">
        <f t="array" aca="1" ref="AE5" ca="1">IF(
MOD('Well calls each plate'!AE5,1)=0,
INDIRECT("'Plate map key'!"&amp;ADDRESS(ROW(),'Well calls each plate'!AE5+3)),
AVERAGE(
    INDIRECT("'Plate map key'!"&amp;ADDRESS(ROW(),TRUNC('Well calls each plate'!AE5)+3)),
    INDIRECT("'Plate map key'!"&amp;ADDRESS(ROW(),TRUNC('Well calls each plate'!AE5)+4)))
)</f>
        <v>7.8125E-2</v>
      </c>
      <c r="AF5" s="34" cm="1">
        <f t="array" aca="1" ref="AF5" ca="1">IF(
MOD('Well calls each plate'!AF5,1)=0,
INDIRECT("'Plate map key'!"&amp;ADDRESS(ROW(),'Well calls each plate'!AF5+3)),
AVERAGE(
    INDIRECT("'Plate map key'!"&amp;ADDRESS(ROW(),TRUNC('Well calls each plate'!AF5)+3)),
    INDIRECT("'Plate map key'!"&amp;ADDRESS(ROW(),TRUNC('Well calls each plate'!AF5)+4)))
)</f>
        <v>7.8125E-2</v>
      </c>
      <c r="AG5" s="34" cm="1">
        <f t="array" aca="1" ref="AG5" ca="1">IF(
MOD('Well calls each plate'!AG5,1)=0,
INDIRECT("'Plate map key'!"&amp;ADDRESS(ROW(),'Well calls each plate'!AG5+3)),
AVERAGE(
    INDIRECT("'Plate map key'!"&amp;ADDRESS(ROW(),TRUNC('Well calls each plate'!AG5)+3)),
    INDIRECT("'Plate map key'!"&amp;ADDRESS(ROW(),TRUNC('Well calls each plate'!AG5)+4)))
)</f>
        <v>0.3125</v>
      </c>
      <c r="AH5" s="34" cm="1">
        <f t="array" aca="1" ref="AH5" ca="1">IF(
MOD('Well calls each plate'!AH5,1)=0,
INDIRECT("'Plate map key'!"&amp;ADDRESS(ROW(),'Well calls each plate'!AH5+3)),
AVERAGE(
    INDIRECT("'Plate map key'!"&amp;ADDRESS(ROW(),TRUNC('Well calls each plate'!AH5)+3)),
    INDIRECT("'Plate map key'!"&amp;ADDRESS(ROW(),TRUNC('Well calls each plate'!AH5)+4)))
)</f>
        <v>0.3125</v>
      </c>
      <c r="AI5" s="34" cm="1">
        <f t="array" aca="1" ref="AI5" ca="1">IF(
MOD('Well calls each plate'!AI5,1)=0,
INDIRECT("'Plate map key'!"&amp;ADDRESS(ROW(),'Well calls each plate'!AI5+3)),
AVERAGE(
    INDIRECT("'Plate map key'!"&amp;ADDRESS(ROW(),TRUNC('Well calls each plate'!AI5)+3)),
    INDIRECT("'Plate map key'!"&amp;ADDRESS(ROW(),TRUNC('Well calls each plate'!AI5)+4)))
)</f>
        <v>0.3125</v>
      </c>
    </row>
    <row r="6" spans="2:35" x14ac:dyDescent="0.2">
      <c r="B6" t="s">
        <v>14</v>
      </c>
      <c r="C6" s="34" cm="1">
        <f t="array" aca="1" ref="C6" ca="1">IF(
MOD('Well calls each plate'!C6,1)=0,
INDIRECT("'Plate map key'!"&amp;ADDRESS(ROW(),'Well calls each plate'!C6+3)),
AVERAGE(
    INDIRECT("'Plate map key'!"&amp;ADDRESS(ROW(),TRUNC('Well calls each plate'!C6)+3)),
    INDIRECT("'Plate map key'!"&amp;ADDRESS(ROW(),TRUNC('Well calls each plate'!C6)+4)))
)</f>
        <v>400</v>
      </c>
      <c r="D6" s="34" cm="1">
        <f t="array" aca="1" ref="D6" ca="1">IF(
MOD('Well calls each plate'!D6,1)=0,
INDIRECT("'Plate map key'!"&amp;ADDRESS(ROW(),'Well calls each plate'!D6+3)),
AVERAGE(
    INDIRECT("'Plate map key'!"&amp;ADDRESS(ROW(),TRUNC('Well calls each plate'!D6)+3)),
    INDIRECT("'Plate map key'!"&amp;ADDRESS(ROW(),TRUNC('Well calls each plate'!D6)+4)))
)</f>
        <v>400</v>
      </c>
      <c r="E6" s="34" cm="1">
        <f t="array" aca="1" ref="E6" ca="1">IF(
MOD('Well calls each plate'!E6,1)=0,
INDIRECT("'Plate map key'!"&amp;ADDRESS(ROW(),'Well calls each plate'!E6+3)),
AVERAGE(
    INDIRECT("'Plate map key'!"&amp;ADDRESS(ROW(),TRUNC('Well calls each plate'!E6)+3)),
    INDIRECT("'Plate map key'!"&amp;ADDRESS(ROW(),TRUNC('Well calls each plate'!E6)+4)))
)</f>
        <v>400</v>
      </c>
      <c r="F6" s="34" cm="1">
        <f t="array" aca="1" ref="F6" ca="1">IF(
MOD('Well calls each plate'!F6,1)=0,
INDIRECT("'Plate map key'!"&amp;ADDRESS(ROW(),'Well calls each plate'!F6+3)),
AVERAGE(
    INDIRECT("'Plate map key'!"&amp;ADDRESS(ROW(),TRUNC('Well calls each plate'!F6)+3)),
    INDIRECT("'Plate map key'!"&amp;ADDRESS(ROW(),TRUNC('Well calls each plate'!F6)+4)))
)</f>
        <v>300</v>
      </c>
      <c r="G6" s="34" cm="1">
        <f t="array" aca="1" ref="G6" ca="1">IF(
MOD('Well calls each plate'!G6,1)=0,
INDIRECT("'Plate map key'!"&amp;ADDRESS(ROW(),'Well calls each plate'!G6+3)),
AVERAGE(
    INDIRECT("'Plate map key'!"&amp;ADDRESS(ROW(),TRUNC('Well calls each plate'!G6)+3)),
    INDIRECT("'Plate map key'!"&amp;ADDRESS(ROW(),TRUNC('Well calls each plate'!G6)+4)))
)</f>
        <v>400</v>
      </c>
      <c r="H6" s="34" cm="1">
        <f t="array" aca="1" ref="H6" ca="1">IF(
MOD('Well calls each plate'!H6,1)=0,
INDIRECT("'Plate map key'!"&amp;ADDRESS(ROW(),'Well calls each plate'!H6+3)),
AVERAGE(
    INDIRECT("'Plate map key'!"&amp;ADDRESS(ROW(),TRUNC('Well calls each plate'!H6)+3)),
    INDIRECT("'Plate map key'!"&amp;ADDRESS(ROW(),TRUNC('Well calls each plate'!H6)+4)))
)</f>
        <v>300</v>
      </c>
      <c r="I6" s="34" cm="1">
        <f t="array" aca="1" ref="I6" ca="1">IF(
MOD('Well calls each plate'!I6,1)=0,
INDIRECT("'Plate map key'!"&amp;ADDRESS(ROW(),'Well calls each plate'!I6+3)),
AVERAGE(
    INDIRECT("'Plate map key'!"&amp;ADDRESS(ROW(),TRUNC('Well calls each plate'!I6)+3)),
    INDIRECT("'Plate map key'!"&amp;ADDRESS(ROW(),TRUNC('Well calls each plate'!I6)+4)))
)</f>
        <v>400</v>
      </c>
      <c r="J6" s="34" cm="1">
        <f t="array" aca="1" ref="J6" ca="1">IF(
MOD('Well calls each plate'!J6,1)=0,
INDIRECT("'Plate map key'!"&amp;ADDRESS(ROW(),'Well calls each plate'!J6+3)),
AVERAGE(
    INDIRECT("'Plate map key'!"&amp;ADDRESS(ROW(),TRUNC('Well calls each plate'!J6)+3)),
    INDIRECT("'Plate map key'!"&amp;ADDRESS(ROW(),TRUNC('Well calls each plate'!J6)+4)))
)</f>
        <v>400</v>
      </c>
      <c r="K6" s="34" cm="1">
        <f t="array" aca="1" ref="K6" ca="1">IF(
MOD('Well calls each plate'!K6,1)=0,
INDIRECT("'Plate map key'!"&amp;ADDRESS(ROW(),'Well calls each plate'!K6+3)),
AVERAGE(
    INDIRECT("'Plate map key'!"&amp;ADDRESS(ROW(),TRUNC('Well calls each plate'!K6)+3)),
    INDIRECT("'Plate map key'!"&amp;ADDRESS(ROW(),TRUNC('Well calls each plate'!K6)+4)))
)</f>
        <v>400</v>
      </c>
      <c r="L6" s="34" cm="1">
        <f t="array" aca="1" ref="L6" ca="1">IF(
MOD('Well calls each plate'!L6,1)=0,
INDIRECT("'Plate map key'!"&amp;ADDRESS(ROW(),'Well calls each plate'!L6+3)),
AVERAGE(
    INDIRECT("'Plate map key'!"&amp;ADDRESS(ROW(),TRUNC('Well calls each plate'!L6)+3)),
    INDIRECT("'Plate map key'!"&amp;ADDRESS(ROW(),TRUNC('Well calls each plate'!L6)+4)))
)</f>
        <v>400</v>
      </c>
      <c r="M6" s="34" cm="1">
        <f t="array" aca="1" ref="M6" ca="1">IF(
MOD('Well calls each plate'!M6,1)=0,
INDIRECT("'Plate map key'!"&amp;ADDRESS(ROW(),'Well calls each plate'!M6+3)),
AVERAGE(
    INDIRECT("'Plate map key'!"&amp;ADDRESS(ROW(),TRUNC('Well calls each plate'!M6)+3)),
    INDIRECT("'Plate map key'!"&amp;ADDRESS(ROW(),TRUNC('Well calls each plate'!M6)+4)))
)</f>
        <v>400</v>
      </c>
      <c r="N6" s="34" cm="1">
        <f t="array" aca="1" ref="N6" ca="1">IF(
MOD('Well calls each plate'!N6,1)=0,
INDIRECT("'Plate map key'!"&amp;ADDRESS(ROW(),'Well calls each plate'!N6+3)),
AVERAGE(
    INDIRECT("'Plate map key'!"&amp;ADDRESS(ROW(),TRUNC('Well calls each plate'!N6)+3)),
    INDIRECT("'Plate map key'!"&amp;ADDRESS(ROW(),TRUNC('Well calls each plate'!N6)+4)))
)</f>
        <v>400</v>
      </c>
      <c r="O6" s="34" cm="1">
        <f t="array" aca="1" ref="O6" ca="1">IF(
MOD('Well calls each plate'!O6,1)=0,
INDIRECT("'Plate map key'!"&amp;ADDRESS(ROW(),'Well calls each plate'!O6+3)),
AVERAGE(
    INDIRECT("'Plate map key'!"&amp;ADDRESS(ROW(),TRUNC('Well calls each plate'!O6)+3)),
    INDIRECT("'Plate map key'!"&amp;ADDRESS(ROW(),TRUNC('Well calls each plate'!O6)+4)))
)</f>
        <v>400</v>
      </c>
      <c r="P6" s="34" cm="1">
        <f t="array" aca="1" ref="P6" ca="1">IF(
MOD('Well calls each plate'!P6,1)=0,
INDIRECT("'Plate map key'!"&amp;ADDRESS(ROW(),'Well calls each plate'!P6+3)),
AVERAGE(
    INDIRECT("'Plate map key'!"&amp;ADDRESS(ROW(),TRUNC('Well calls each plate'!P6)+3)),
    INDIRECT("'Plate map key'!"&amp;ADDRESS(ROW(),TRUNC('Well calls each plate'!P6)+4)))
)</f>
        <v>400</v>
      </c>
      <c r="Q6" s="34" cm="1">
        <f t="array" aca="1" ref="Q6" ca="1">IF(
MOD('Well calls each plate'!Q6,1)=0,
INDIRECT("'Plate map key'!"&amp;ADDRESS(ROW(),'Well calls each plate'!Q6+3)),
AVERAGE(
    INDIRECT("'Plate map key'!"&amp;ADDRESS(ROW(),TRUNC('Well calls each plate'!Q6)+3)),
    INDIRECT("'Plate map key'!"&amp;ADDRESS(ROW(),TRUNC('Well calls each plate'!Q6)+4)))
)</f>
        <v>400</v>
      </c>
      <c r="R6" s="34" cm="1">
        <f t="array" aca="1" ref="R6" ca="1">IF(
MOD('Well calls each plate'!R6,1)=0,
INDIRECT("'Plate map key'!"&amp;ADDRESS(ROW(),'Well calls each plate'!R6+3)),
AVERAGE(
    INDIRECT("'Plate map key'!"&amp;ADDRESS(ROW(),TRUNC('Well calls each plate'!R6)+3)),
    INDIRECT("'Plate map key'!"&amp;ADDRESS(ROW(),TRUNC('Well calls each plate'!R6)+4)))
)</f>
        <v>400</v>
      </c>
      <c r="S6" s="34" cm="1">
        <f t="array" aca="1" ref="S6" ca="1">IF(
MOD('Well calls each plate'!S6,1)=0,
INDIRECT("'Plate map key'!"&amp;ADDRESS(ROW(),'Well calls each plate'!S6+3)),
AVERAGE(
    INDIRECT("'Plate map key'!"&amp;ADDRESS(ROW(),TRUNC('Well calls each plate'!S6)+3)),
    INDIRECT("'Plate map key'!"&amp;ADDRESS(ROW(),TRUNC('Well calls each plate'!S6)+4)))
)</f>
        <v>400</v>
      </c>
      <c r="T6" s="34" cm="1">
        <f t="array" aca="1" ref="T6" ca="1">IF(
MOD('Well calls each plate'!T6,1)=0,
INDIRECT("'Plate map key'!"&amp;ADDRESS(ROW(),'Well calls each plate'!T6+3)),
AVERAGE(
    INDIRECT("'Plate map key'!"&amp;ADDRESS(ROW(),TRUNC('Well calls each plate'!T6)+3)),
    INDIRECT("'Plate map key'!"&amp;ADDRESS(ROW(),TRUNC('Well calls each plate'!T6)+4)))
)</f>
        <v>400</v>
      </c>
      <c r="U6" s="34" cm="1">
        <f t="array" aca="1" ref="U6" ca="1">IF(
MOD('Well calls each plate'!U6,1)=0,
INDIRECT("'Plate map key'!"&amp;ADDRESS(ROW(),'Well calls each plate'!U6+3)),
AVERAGE(
    INDIRECT("'Plate map key'!"&amp;ADDRESS(ROW(),TRUNC('Well calls each plate'!U6)+3)),
    INDIRECT("'Plate map key'!"&amp;ADDRESS(ROW(),TRUNC('Well calls each plate'!U6)+4)))
)</f>
        <v>400</v>
      </c>
      <c r="V6" s="34" cm="1">
        <f t="array" aca="1" ref="V6" ca="1">IF(
MOD('Well calls each plate'!V6,1)=0,
INDIRECT("'Plate map key'!"&amp;ADDRESS(ROW(),'Well calls each plate'!V6+3)),
AVERAGE(
    INDIRECT("'Plate map key'!"&amp;ADDRESS(ROW(),TRUNC('Well calls each plate'!V6)+3)),
    INDIRECT("'Plate map key'!"&amp;ADDRESS(ROW(),TRUNC('Well calls each plate'!V6)+4)))
)</f>
        <v>400</v>
      </c>
      <c r="W6" s="34" cm="1">
        <f t="array" aca="1" ref="W6" ca="1">IF(
MOD('Well calls each plate'!W6,1)=0,
INDIRECT("'Plate map key'!"&amp;ADDRESS(ROW(),'Well calls each plate'!W6+3)),
AVERAGE(
    INDIRECT("'Plate map key'!"&amp;ADDRESS(ROW(),TRUNC('Well calls each plate'!W6)+3)),
    INDIRECT("'Plate map key'!"&amp;ADDRESS(ROW(),TRUNC('Well calls each plate'!W6)+4)))
)</f>
        <v>400</v>
      </c>
      <c r="X6" s="34" cm="1">
        <f t="array" aca="1" ref="X6" ca="1">IF(
MOD('Well calls each plate'!X6,1)=0,
INDIRECT("'Plate map key'!"&amp;ADDRESS(ROW(),'Well calls each plate'!X6+3)),
AVERAGE(
    INDIRECT("'Plate map key'!"&amp;ADDRESS(ROW(),TRUNC('Well calls each plate'!X6)+3)),
    INDIRECT("'Plate map key'!"&amp;ADDRESS(ROW(),TRUNC('Well calls each plate'!X6)+4)))
)</f>
        <v>400</v>
      </c>
      <c r="Y6" s="34" cm="1">
        <f t="array" aca="1" ref="Y6" ca="1">IF(
MOD('Well calls each plate'!Y6,1)=0,
INDIRECT("'Plate map key'!"&amp;ADDRESS(ROW(),'Well calls each plate'!Y6+3)),
AVERAGE(
    INDIRECT("'Plate map key'!"&amp;ADDRESS(ROW(),TRUNC('Well calls each plate'!Y6)+3)),
    INDIRECT("'Plate map key'!"&amp;ADDRESS(ROW(),TRUNC('Well calls each plate'!Y6)+4)))
)</f>
        <v>400</v>
      </c>
      <c r="Z6" s="34" cm="1">
        <f t="array" aca="1" ref="Z6" ca="1">IF(
MOD('Well calls each plate'!Z6,1)=0,
INDIRECT("'Plate map key'!"&amp;ADDRESS(ROW(),'Well calls each plate'!Z6+3)),
AVERAGE(
    INDIRECT("'Plate map key'!"&amp;ADDRESS(ROW(),TRUNC('Well calls each plate'!Z6)+3)),
    INDIRECT("'Plate map key'!"&amp;ADDRESS(ROW(),TRUNC('Well calls each plate'!Z6)+4)))
)</f>
        <v>400</v>
      </c>
      <c r="AA6" s="34" cm="1">
        <f t="array" aca="1" ref="AA6" ca="1">IF(
MOD('Well calls each plate'!AA6,1)=0,
INDIRECT("'Plate map key'!"&amp;ADDRESS(ROW(),'Well calls each plate'!AA6+3)),
AVERAGE(
    INDIRECT("'Plate map key'!"&amp;ADDRESS(ROW(),TRUNC('Well calls each plate'!AA6)+3)),
    INDIRECT("'Plate map key'!"&amp;ADDRESS(ROW(),TRUNC('Well calls each plate'!AA6)+4)))
)</f>
        <v>400</v>
      </c>
      <c r="AB6" s="34" cm="1">
        <f t="array" aca="1" ref="AB6" ca="1">IF(
MOD('Well calls each plate'!AB6,1)=0,
INDIRECT("'Plate map key'!"&amp;ADDRESS(ROW(),'Well calls each plate'!AB6+3)),
AVERAGE(
    INDIRECT("'Plate map key'!"&amp;ADDRESS(ROW(),TRUNC('Well calls each plate'!AB6)+3)),
    INDIRECT("'Plate map key'!"&amp;ADDRESS(ROW(),TRUNC('Well calls each plate'!AB6)+4)))
)</f>
        <v>400</v>
      </c>
      <c r="AC6" s="35" t="str" cm="1">
        <f t="array" aca="1" ref="AC6" ca="1">IF(
MOD('Well calls each plate'!AC6,1)=0,
INDIRECT("'Plate map key'!"&amp;ADDRESS(ROW(),'Well calls each plate'!AC6+3)),
AVERAGE(
    INDIRECT("'Plate map key'!"&amp;ADDRESS(ROW(),TRUNC('Well calls each plate'!AC6)+3)),
    INDIRECT("'Plate map key'!"&amp;ADDRESS(ROW(),TRUNC('Well calls each plate'!AC6)+4)))
)</f>
        <v>D</v>
      </c>
      <c r="AD6" s="34" cm="1">
        <f t="array" aca="1" ref="AD6" ca="1">IF(
MOD('Well calls each plate'!AD6,1)=0,
INDIRECT("'Plate map key'!"&amp;ADDRESS(ROW(),'Well calls each plate'!AD6+3)),
AVERAGE(
    INDIRECT("'Plate map key'!"&amp;ADDRESS(ROW(),TRUNC('Well calls each plate'!AD6)+3)),
    INDIRECT("'Plate map key'!"&amp;ADDRESS(ROW(),TRUNC('Well calls each plate'!AD6)+4)))
)</f>
        <v>400</v>
      </c>
      <c r="AE6" s="34" cm="1">
        <f t="array" aca="1" ref="AE6" ca="1">IF(
MOD('Well calls each plate'!AE6,1)=0,
INDIRECT("'Plate map key'!"&amp;ADDRESS(ROW(),'Well calls each plate'!AE6+3)),
AVERAGE(
    INDIRECT("'Plate map key'!"&amp;ADDRESS(ROW(),TRUNC('Well calls each plate'!AE6)+3)),
    INDIRECT("'Plate map key'!"&amp;ADDRESS(ROW(),TRUNC('Well calls each plate'!AE6)+4)))
)</f>
        <v>400</v>
      </c>
      <c r="AF6" s="34" cm="1">
        <f t="array" aca="1" ref="AF6" ca="1">IF(
MOD('Well calls each plate'!AF6,1)=0,
INDIRECT("'Plate map key'!"&amp;ADDRESS(ROW(),'Well calls each plate'!AF6+3)),
AVERAGE(
    INDIRECT("'Plate map key'!"&amp;ADDRESS(ROW(),TRUNC('Well calls each plate'!AF6)+3)),
    INDIRECT("'Plate map key'!"&amp;ADDRESS(ROW(),TRUNC('Well calls each plate'!AF6)+4)))
)</f>
        <v>400</v>
      </c>
      <c r="AG6" s="34" cm="1">
        <f t="array" aca="1" ref="AG6" ca="1">IF(
MOD('Well calls each plate'!AG6,1)=0,
INDIRECT("'Plate map key'!"&amp;ADDRESS(ROW(),'Well calls each plate'!AG6+3)),
AVERAGE(
    INDIRECT("'Plate map key'!"&amp;ADDRESS(ROW(),TRUNC('Well calls each plate'!AG6)+3)),
    INDIRECT("'Plate map key'!"&amp;ADDRESS(ROW(),TRUNC('Well calls each plate'!AG6)+4)))
)</f>
        <v>400</v>
      </c>
      <c r="AH6" s="34" cm="1">
        <f t="array" aca="1" ref="AH6" ca="1">IF(
MOD('Well calls each plate'!AH6,1)=0,
INDIRECT("'Plate map key'!"&amp;ADDRESS(ROW(),'Well calls each plate'!AH6+3)),
AVERAGE(
    INDIRECT("'Plate map key'!"&amp;ADDRESS(ROW(),TRUNC('Well calls each plate'!AH6)+3)),
    INDIRECT("'Plate map key'!"&amp;ADDRESS(ROW(),TRUNC('Well calls each plate'!AH6)+4)))
)</f>
        <v>400</v>
      </c>
      <c r="AI6" s="34" cm="1">
        <f t="array" aca="1" ref="AI6" ca="1">IF(
MOD('Well calls each plate'!AI6,1)=0,
INDIRECT("'Plate map key'!"&amp;ADDRESS(ROW(),'Well calls each plate'!AI6+3)),
AVERAGE(
    INDIRECT("'Plate map key'!"&amp;ADDRESS(ROW(),TRUNC('Well calls each plate'!AI6)+3)),
    INDIRECT("'Plate map key'!"&amp;ADDRESS(ROW(),TRUNC('Well calls each plate'!AI6)+4)))
)</f>
        <v>400</v>
      </c>
    </row>
    <row r="7" spans="2:35" x14ac:dyDescent="0.2">
      <c r="B7" t="s">
        <v>15</v>
      </c>
      <c r="C7" s="34" cm="1">
        <f t="array" aca="1" ref="C7" ca="1">IF(
MOD('Well calls each plate'!C7,1)=0,
INDIRECT("'Plate map key'!"&amp;ADDRESS(ROW(),'Well calls each plate'!C7+3)),
AVERAGE(
    INDIRECT("'Plate map key'!"&amp;ADDRESS(ROW(),TRUNC('Well calls each plate'!C7)+3)),
    INDIRECT("'Plate map key'!"&amp;ADDRESS(ROW(),TRUNC('Well calls each plate'!C7)+4)))
)</f>
        <v>750</v>
      </c>
      <c r="D7" s="34" cm="1">
        <f t="array" aca="1" ref="D7" ca="1">IF(
MOD('Well calls each plate'!D7,1)=0,
INDIRECT("'Plate map key'!"&amp;ADDRESS(ROW(),'Well calls each plate'!D7+3)),
AVERAGE(
    INDIRECT("'Plate map key'!"&amp;ADDRESS(ROW(),TRUNC('Well calls each plate'!D7)+3)),
    INDIRECT("'Plate map key'!"&amp;ADDRESS(ROW(),TRUNC('Well calls each plate'!D7)+4)))
)</f>
        <v>750</v>
      </c>
      <c r="E7" s="34" cm="1">
        <f t="array" aca="1" ref="E7" ca="1">IF(
MOD('Well calls each plate'!E7,1)=0,
INDIRECT("'Plate map key'!"&amp;ADDRESS(ROW(),'Well calls each plate'!E7+3)),
AVERAGE(
    INDIRECT("'Plate map key'!"&amp;ADDRESS(ROW(),TRUNC('Well calls each plate'!E7)+3)),
    INDIRECT("'Plate map key'!"&amp;ADDRESS(ROW(),TRUNC('Well calls each plate'!E7)+4)))
)</f>
        <v>750</v>
      </c>
      <c r="F7" s="34" cm="1">
        <f t="array" aca="1" ref="F7" ca="1">IF(
MOD('Well calls each plate'!F7,1)=0,
INDIRECT("'Plate map key'!"&amp;ADDRESS(ROW(),'Well calls each plate'!F7+3)),
AVERAGE(
    INDIRECT("'Plate map key'!"&amp;ADDRESS(ROW(),TRUNC('Well calls each plate'!F7)+3)),
    INDIRECT("'Plate map key'!"&amp;ADDRESS(ROW(),TRUNC('Well calls each plate'!F7)+4)))
)</f>
        <v>750</v>
      </c>
      <c r="G7" s="34" cm="1">
        <f t="array" aca="1" ref="G7" ca="1">IF(
MOD('Well calls each plate'!G7,1)=0,
INDIRECT("'Plate map key'!"&amp;ADDRESS(ROW(),'Well calls each plate'!G7+3)),
AVERAGE(
    INDIRECT("'Plate map key'!"&amp;ADDRESS(ROW(),TRUNC('Well calls each plate'!G7)+3)),
    INDIRECT("'Plate map key'!"&amp;ADDRESS(ROW(),TRUNC('Well calls each plate'!G7)+4)))
)</f>
        <v>750</v>
      </c>
      <c r="H7" s="34" cm="1">
        <f t="array" aca="1" ref="H7" ca="1">IF(
MOD('Well calls each plate'!H7,1)=0,
INDIRECT("'Plate map key'!"&amp;ADDRESS(ROW(),'Well calls each plate'!H7+3)),
AVERAGE(
    INDIRECT("'Plate map key'!"&amp;ADDRESS(ROW(),TRUNC('Well calls each plate'!H7)+3)),
    INDIRECT("'Plate map key'!"&amp;ADDRESS(ROW(),TRUNC('Well calls each plate'!H7)+4)))
)</f>
        <v>750</v>
      </c>
      <c r="I7" s="34" cm="1">
        <f t="array" aca="1" ref="I7" ca="1">IF(
MOD('Well calls each plate'!I7,1)=0,
INDIRECT("'Plate map key'!"&amp;ADDRESS(ROW(),'Well calls each plate'!I7+3)),
AVERAGE(
    INDIRECT("'Plate map key'!"&amp;ADDRESS(ROW(),TRUNC('Well calls each plate'!I7)+3)),
    INDIRECT("'Plate map key'!"&amp;ADDRESS(ROW(),TRUNC('Well calls each plate'!I7)+4)))
)</f>
        <v>17.578125</v>
      </c>
      <c r="J7" s="34" cm="1">
        <f t="array" aca="1" ref="J7" ca="1">IF(
MOD('Well calls each plate'!J7,1)=0,
INDIRECT("'Plate map key'!"&amp;ADDRESS(ROW(),'Well calls each plate'!J7+3)),
AVERAGE(
    INDIRECT("'Plate map key'!"&amp;ADDRESS(ROW(),TRUNC('Well calls each plate'!J7)+3)),
    INDIRECT("'Plate map key'!"&amp;ADDRESS(ROW(),TRUNC('Well calls each plate'!J7)+4)))
)</f>
        <v>17.578125</v>
      </c>
      <c r="K7" s="34" cm="1">
        <f t="array" aca="1" ref="K7" ca="1">IF(
MOD('Well calls each plate'!K7,1)=0,
INDIRECT("'Plate map key'!"&amp;ADDRESS(ROW(),'Well calls each plate'!K7+3)),
AVERAGE(
    INDIRECT("'Plate map key'!"&amp;ADDRESS(ROW(),TRUNC('Well calls each plate'!K7)+3)),
    INDIRECT("'Plate map key'!"&amp;ADDRESS(ROW(),TRUNC('Well calls each plate'!K7)+4)))
)</f>
        <v>17.578125</v>
      </c>
      <c r="L7" s="34" cm="1">
        <f t="array" aca="1" ref="L7" ca="1">IF(
MOD('Well calls each plate'!L7,1)=0,
INDIRECT("'Plate map key'!"&amp;ADDRESS(ROW(),'Well calls each plate'!L7+3)),
AVERAGE(
    INDIRECT("'Plate map key'!"&amp;ADDRESS(ROW(),TRUNC('Well calls each plate'!L7)+3)),
    INDIRECT("'Plate map key'!"&amp;ADDRESS(ROW(),TRUNC('Well calls each plate'!L7)+4)))
)</f>
        <v>17.578125</v>
      </c>
      <c r="M7" s="34" cm="1">
        <f t="array" aca="1" ref="M7" ca="1">IF(
MOD('Well calls each plate'!M7,1)=0,
INDIRECT("'Plate map key'!"&amp;ADDRESS(ROW(),'Well calls each plate'!M7+3)),
AVERAGE(
    INDIRECT("'Plate map key'!"&amp;ADDRESS(ROW(),TRUNC('Well calls each plate'!M7)+3)),
    INDIRECT("'Plate map key'!"&amp;ADDRESS(ROW(),TRUNC('Well calls each plate'!M7)+4)))
)</f>
        <v>5.859375</v>
      </c>
      <c r="N7" s="34" cm="1">
        <f t="array" aca="1" ref="N7" ca="1">IF(
MOD('Well calls each plate'!N7,1)=0,
INDIRECT("'Plate map key'!"&amp;ADDRESS(ROW(),'Well calls each plate'!N7+3)),
AVERAGE(
    INDIRECT("'Plate map key'!"&amp;ADDRESS(ROW(),TRUNC('Well calls each plate'!N7)+3)),
    INDIRECT("'Plate map key'!"&amp;ADDRESS(ROW(),TRUNC('Well calls each plate'!N7)+4)))
)</f>
        <v>8.7890625</v>
      </c>
      <c r="O7" s="34" cm="1">
        <f t="array" aca="1" ref="O7" ca="1">IF(
MOD('Well calls each plate'!O7,1)=0,
INDIRECT("'Plate map key'!"&amp;ADDRESS(ROW(),'Well calls each plate'!O7+3)),
AVERAGE(
    INDIRECT("'Plate map key'!"&amp;ADDRESS(ROW(),TRUNC('Well calls each plate'!O7)+3)),
    INDIRECT("'Plate map key'!"&amp;ADDRESS(ROW(),TRUNC('Well calls each plate'!O7)+4)))
)</f>
        <v>11.71875</v>
      </c>
      <c r="P7" s="34" cm="1">
        <f t="array" aca="1" ref="P7" ca="1">IF(
MOD('Well calls each plate'!P7,1)=0,
INDIRECT("'Plate map key'!"&amp;ADDRESS(ROW(),'Well calls each plate'!P7+3)),
AVERAGE(
    INDIRECT("'Plate map key'!"&amp;ADDRESS(ROW(),TRUNC('Well calls each plate'!P7)+3)),
    INDIRECT("'Plate map key'!"&amp;ADDRESS(ROW(),TRUNC('Well calls each plate'!P7)+4)))
)</f>
        <v>11.71875</v>
      </c>
      <c r="Q7" s="34" cm="1">
        <f t="array" aca="1" ref="Q7" ca="1">IF(
MOD('Well calls each plate'!Q7,1)=0,
INDIRECT("'Plate map key'!"&amp;ADDRESS(ROW(),'Well calls each plate'!Q7+3)),
AVERAGE(
    INDIRECT("'Plate map key'!"&amp;ADDRESS(ROW(),TRUNC('Well calls each plate'!Q7)+3)),
    INDIRECT("'Plate map key'!"&amp;ADDRESS(ROW(),TRUNC('Well calls each plate'!Q7)+4)))
)</f>
        <v>11.71875</v>
      </c>
      <c r="R7" s="34" cm="1">
        <f t="array" aca="1" ref="R7" ca="1">IF(
MOD('Well calls each plate'!R7,1)=0,
INDIRECT("'Plate map key'!"&amp;ADDRESS(ROW(),'Well calls each plate'!R7+3)),
AVERAGE(
    INDIRECT("'Plate map key'!"&amp;ADDRESS(ROW(),TRUNC('Well calls each plate'!R7)+3)),
    INDIRECT("'Plate map key'!"&amp;ADDRESS(ROW(),TRUNC('Well calls each plate'!R7)+4)))
)</f>
        <v>0.54931640625</v>
      </c>
      <c r="S7" s="34" cm="1">
        <f t="array" aca="1" ref="S7" ca="1">IF(
MOD('Well calls each plate'!S7,1)=0,
INDIRECT("'Plate map key'!"&amp;ADDRESS(ROW(),'Well calls each plate'!S7+3)),
AVERAGE(
    INDIRECT("'Plate map key'!"&amp;ADDRESS(ROW(),TRUNC('Well calls each plate'!S7)+3)),
    INDIRECT("'Plate map key'!"&amp;ADDRESS(ROW(),TRUNC('Well calls each plate'!S7)+4)))
)</f>
        <v>0.732421875</v>
      </c>
      <c r="T7" s="34" cm="1">
        <f t="array" aca="1" ref="T7" ca="1">IF(
MOD('Well calls each plate'!T7,1)=0,
INDIRECT("'Plate map key'!"&amp;ADDRESS(ROW(),'Well calls each plate'!T7+3)),
AVERAGE(
    INDIRECT("'Plate map key'!"&amp;ADDRESS(ROW(),TRUNC('Well calls each plate'!T7)+3)),
    INDIRECT("'Plate map key'!"&amp;ADDRESS(ROW(),TRUNC('Well calls each plate'!T7)+4)))
)</f>
        <v>1.0986328125</v>
      </c>
      <c r="U7" s="34" cm="1">
        <f t="array" aca="1" ref="U7" ca="1">IF(
MOD('Well calls each plate'!U7,1)=0,
INDIRECT("'Plate map key'!"&amp;ADDRESS(ROW(),'Well calls each plate'!U7+3)),
AVERAGE(
    INDIRECT("'Plate map key'!"&amp;ADDRESS(ROW(),TRUNC('Well calls each plate'!U7)+3)),
    INDIRECT("'Plate map key'!"&amp;ADDRESS(ROW(),TRUNC('Well calls each plate'!U7)+4)))
)</f>
        <v>5.859375</v>
      </c>
      <c r="V7" s="34" cm="1">
        <f t="array" aca="1" ref="V7" ca="1">IF(
MOD('Well calls each plate'!V7,1)=0,
INDIRECT("'Plate map key'!"&amp;ADDRESS(ROW(),'Well calls each plate'!V7+3)),
AVERAGE(
    INDIRECT("'Plate map key'!"&amp;ADDRESS(ROW(),TRUNC('Well calls each plate'!V7)+3)),
    INDIRECT("'Plate map key'!"&amp;ADDRESS(ROW(),TRUNC('Well calls each plate'!V7)+4)))
)</f>
        <v>5.859375</v>
      </c>
      <c r="W7" s="34" cm="1">
        <f t="array" aca="1" ref="W7" ca="1">IF(
MOD('Well calls each plate'!W7,1)=0,
INDIRECT("'Plate map key'!"&amp;ADDRESS(ROW(),'Well calls each plate'!W7+3)),
AVERAGE(
    INDIRECT("'Plate map key'!"&amp;ADDRESS(ROW(),TRUNC('Well calls each plate'!W7)+3)),
    INDIRECT("'Plate map key'!"&amp;ADDRESS(ROW(),TRUNC('Well calls each plate'!W7)+4)))
)</f>
        <v>5.859375</v>
      </c>
      <c r="X7" s="34" cm="1">
        <f t="array" aca="1" ref="X7" ca="1">IF(
MOD('Well calls each plate'!X7,1)=0,
INDIRECT("'Plate map key'!"&amp;ADDRESS(ROW(),'Well calls each plate'!X7+3)),
AVERAGE(
    INDIRECT("'Plate map key'!"&amp;ADDRESS(ROW(),TRUNC('Well calls each plate'!X7)+3)),
    INDIRECT("'Plate map key'!"&amp;ADDRESS(ROW(),TRUNC('Well calls each plate'!X7)+4)))
)</f>
        <v>11.71875</v>
      </c>
      <c r="Y7" s="34" cm="1">
        <f t="array" aca="1" ref="Y7" ca="1">IF(
MOD('Well calls each plate'!Y7,1)=0,
INDIRECT("'Plate map key'!"&amp;ADDRESS(ROW(),'Well calls each plate'!Y7+3)),
AVERAGE(
    INDIRECT("'Plate map key'!"&amp;ADDRESS(ROW(),TRUNC('Well calls each plate'!Y7)+3)),
    INDIRECT("'Plate map key'!"&amp;ADDRESS(ROW(),TRUNC('Well calls each plate'!Y7)+4)))
)</f>
        <v>11.71875</v>
      </c>
      <c r="Z7" s="34" cm="1">
        <f t="array" aca="1" ref="Z7" ca="1">IF(
MOD('Well calls each plate'!Z7,1)=0,
INDIRECT("'Plate map key'!"&amp;ADDRESS(ROW(),'Well calls each plate'!Z7+3)),
AVERAGE(
    INDIRECT("'Plate map key'!"&amp;ADDRESS(ROW(),TRUNC('Well calls each plate'!Z7)+3)),
    INDIRECT("'Plate map key'!"&amp;ADDRESS(ROW(),TRUNC('Well calls each plate'!Z7)+4)))
)</f>
        <v>11.71875</v>
      </c>
      <c r="AA7" s="34" cm="1">
        <f t="array" aca="1" ref="AA7" ca="1">IF(
MOD('Well calls each plate'!AA7,1)=0,
INDIRECT("'Plate map key'!"&amp;ADDRESS(ROW(),'Well calls each plate'!AA7+3)),
AVERAGE(
    INDIRECT("'Plate map key'!"&amp;ADDRESS(ROW(),TRUNC('Well calls each plate'!AA7)+3)),
    INDIRECT("'Plate map key'!"&amp;ADDRESS(ROW(),TRUNC('Well calls each plate'!AA7)+4)))
)</f>
        <v>35.15625</v>
      </c>
      <c r="AB7" s="34" cm="1">
        <f t="array" aca="1" ref="AB7" ca="1">IF(
MOD('Well calls each plate'!AB7,1)=0,
INDIRECT("'Plate map key'!"&amp;ADDRESS(ROW(),'Well calls each plate'!AB7+3)),
AVERAGE(
    INDIRECT("'Plate map key'!"&amp;ADDRESS(ROW(),TRUNC('Well calls each plate'!AB7)+3)),
    INDIRECT("'Plate map key'!"&amp;ADDRESS(ROW(),TRUNC('Well calls each plate'!AB7)+4)))
)</f>
        <v>70.3125</v>
      </c>
      <c r="AC7" s="35" t="str" cm="1">
        <f t="array" aca="1" ref="AC7" ca="1">IF(
MOD('Well calls each plate'!AC7,1)=0,
INDIRECT("'Plate map key'!"&amp;ADDRESS(ROW(),'Well calls each plate'!AC7+3)),
AVERAGE(
    INDIRECT("'Plate map key'!"&amp;ADDRESS(ROW(),TRUNC('Well calls each plate'!AC7)+3)),
    INDIRECT("'Plate map key'!"&amp;ADDRESS(ROW(),TRUNC('Well calls each plate'!AC7)+4)))
)</f>
        <v>E</v>
      </c>
      <c r="AD7" s="34" cm="1">
        <f t="array" aca="1" ref="AD7" ca="1">IF(
MOD('Well calls each plate'!AD7,1)=0,
INDIRECT("'Plate map key'!"&amp;ADDRESS(ROW(),'Well calls each plate'!AD7+3)),
AVERAGE(
    INDIRECT("'Plate map key'!"&amp;ADDRESS(ROW(),TRUNC('Well calls each plate'!AD7)+3)),
    INDIRECT("'Plate map key'!"&amp;ADDRESS(ROW(),TRUNC('Well calls each plate'!AD7)+4)))
)</f>
        <v>750</v>
      </c>
      <c r="AE7" s="34" cm="1">
        <f t="array" aca="1" ref="AE7" ca="1">IF(
MOD('Well calls each plate'!AE7,1)=0,
INDIRECT("'Plate map key'!"&amp;ADDRESS(ROW(),'Well calls each plate'!AE7+3)),
AVERAGE(
    INDIRECT("'Plate map key'!"&amp;ADDRESS(ROW(),TRUNC('Well calls each plate'!AE7)+3)),
    INDIRECT("'Plate map key'!"&amp;ADDRESS(ROW(),TRUNC('Well calls each plate'!AE7)+4)))
)</f>
        <v>750</v>
      </c>
      <c r="AF7" s="34" cm="1">
        <f t="array" aca="1" ref="AF7" ca="1">IF(
MOD('Well calls each plate'!AF7,1)=0,
INDIRECT("'Plate map key'!"&amp;ADDRESS(ROW(),'Well calls each plate'!AF7+3)),
AVERAGE(
    INDIRECT("'Plate map key'!"&amp;ADDRESS(ROW(),TRUNC('Well calls each plate'!AF7)+3)),
    INDIRECT("'Plate map key'!"&amp;ADDRESS(ROW(),TRUNC('Well calls each plate'!AF7)+4)))
)</f>
        <v>750</v>
      </c>
      <c r="AG7" s="34" cm="1">
        <f t="array" aca="1" ref="AG7" ca="1">IF(
MOD('Well calls each plate'!AG7,1)=0,
INDIRECT("'Plate map key'!"&amp;ADDRESS(ROW(),'Well calls each plate'!AG7+3)),
AVERAGE(
    INDIRECT("'Plate map key'!"&amp;ADDRESS(ROW(),TRUNC('Well calls each plate'!AG7)+3)),
    INDIRECT("'Plate map key'!"&amp;ADDRESS(ROW(),TRUNC('Well calls each plate'!AG7)+4)))
)</f>
        <v>750</v>
      </c>
      <c r="AH7" s="34" cm="1">
        <f t="array" aca="1" ref="AH7" ca="1">IF(
MOD('Well calls each plate'!AH7,1)=0,
INDIRECT("'Plate map key'!"&amp;ADDRESS(ROW(),'Well calls each plate'!AH7+3)),
AVERAGE(
    INDIRECT("'Plate map key'!"&amp;ADDRESS(ROW(),TRUNC('Well calls each plate'!AH7)+3)),
    INDIRECT("'Plate map key'!"&amp;ADDRESS(ROW(),TRUNC('Well calls each plate'!AH7)+4)))
)</f>
        <v>750</v>
      </c>
      <c r="AI7" s="34" cm="1">
        <f t="array" aca="1" ref="AI7" ca="1">IF(
MOD('Well calls each plate'!AI7,1)=0,
INDIRECT("'Plate map key'!"&amp;ADDRESS(ROW(),'Well calls each plate'!AI7+3)),
AVERAGE(
    INDIRECT("'Plate map key'!"&amp;ADDRESS(ROW(),TRUNC('Well calls each plate'!AI7)+3)),
    INDIRECT("'Plate map key'!"&amp;ADDRESS(ROW(),TRUNC('Well calls each plate'!AI7)+4)))
)</f>
        <v>750</v>
      </c>
    </row>
    <row r="8" spans="2:35" x14ac:dyDescent="0.2">
      <c r="B8" t="s">
        <v>16</v>
      </c>
      <c r="C8" s="34" cm="1">
        <f t="array" aca="1" ref="C8" ca="1">IF(
MOD('Well calls each plate'!C8,1)=0,
INDIRECT("'Plate map key'!"&amp;ADDRESS(ROW(),'Well calls each plate'!C8+3)),
AVERAGE(
    INDIRECT("'Plate map key'!"&amp;ADDRESS(ROW(),TRUNC('Well calls each plate'!C8)+3)),
    INDIRECT("'Plate map key'!"&amp;ADDRESS(ROW(),TRUNC('Well calls each plate'!C8)+4)))
)</f>
        <v>750</v>
      </c>
      <c r="D8" s="34" cm="1">
        <f t="array" aca="1" ref="D8" ca="1">IF(
MOD('Well calls each plate'!D8,1)=0,
INDIRECT("'Plate map key'!"&amp;ADDRESS(ROW(),'Well calls each plate'!D8+3)),
AVERAGE(
    INDIRECT("'Plate map key'!"&amp;ADDRESS(ROW(),TRUNC('Well calls each plate'!D8)+3)),
    INDIRECT("'Plate map key'!"&amp;ADDRESS(ROW(),TRUNC('Well calls each plate'!D8)+4)))
)</f>
        <v>750</v>
      </c>
      <c r="E8" s="34" cm="1">
        <f t="array" aca="1" ref="E8" ca="1">IF(
MOD('Well calls each plate'!E8,1)=0,
INDIRECT("'Plate map key'!"&amp;ADDRESS(ROW(),'Well calls each plate'!E8+3)),
AVERAGE(
    INDIRECT("'Plate map key'!"&amp;ADDRESS(ROW(),TRUNC('Well calls each plate'!E8)+3)),
    INDIRECT("'Plate map key'!"&amp;ADDRESS(ROW(),TRUNC('Well calls each plate'!E8)+4)))
)</f>
        <v>750</v>
      </c>
      <c r="F8" s="34" cm="1">
        <f t="array" aca="1" ref="F8" ca="1">IF(
MOD('Well calls each plate'!F8,1)=0,
INDIRECT("'Plate map key'!"&amp;ADDRESS(ROW(),'Well calls each plate'!F8+3)),
AVERAGE(
    INDIRECT("'Plate map key'!"&amp;ADDRESS(ROW(),TRUNC('Well calls each plate'!F8)+3)),
    INDIRECT("'Plate map key'!"&amp;ADDRESS(ROW(),TRUNC('Well calls each plate'!F8)+4)))
)</f>
        <v>750</v>
      </c>
      <c r="G8" s="34" cm="1">
        <f t="array" aca="1" ref="G8" ca="1">IF(
MOD('Well calls each plate'!G8,1)=0,
INDIRECT("'Plate map key'!"&amp;ADDRESS(ROW(),'Well calls each plate'!G8+3)),
AVERAGE(
    INDIRECT("'Plate map key'!"&amp;ADDRESS(ROW(),TRUNC('Well calls each plate'!G8)+3)),
    INDIRECT("'Plate map key'!"&amp;ADDRESS(ROW(),TRUNC('Well calls each plate'!G8)+4)))
)</f>
        <v>750</v>
      </c>
      <c r="H8" s="34" cm="1">
        <f t="array" aca="1" ref="H8" ca="1">IF(
MOD('Well calls each plate'!H8,1)=0,
INDIRECT("'Plate map key'!"&amp;ADDRESS(ROW(),'Well calls each plate'!H8+3)),
AVERAGE(
    INDIRECT("'Plate map key'!"&amp;ADDRESS(ROW(),TRUNC('Well calls each plate'!H8)+3)),
    INDIRECT("'Plate map key'!"&amp;ADDRESS(ROW(),TRUNC('Well calls each plate'!H8)+4)))
)</f>
        <v>750</v>
      </c>
      <c r="I8" s="34" cm="1">
        <f t="array" aca="1" ref="I8" ca="1">IF(
MOD('Well calls each plate'!I8,1)=0,
INDIRECT("'Plate map key'!"&amp;ADDRESS(ROW(),'Well calls each plate'!I8+3)),
AVERAGE(
    INDIRECT("'Plate map key'!"&amp;ADDRESS(ROW(),TRUNC('Well calls each plate'!I8)+3)),
    INDIRECT("'Plate map key'!"&amp;ADDRESS(ROW(),TRUNC('Well calls each plate'!I8)+4)))
)</f>
        <v>23.4375</v>
      </c>
      <c r="J8" s="34" cm="1">
        <f t="array" aca="1" ref="J8" ca="1">IF(
MOD('Well calls each plate'!J8,1)=0,
INDIRECT("'Plate map key'!"&amp;ADDRESS(ROW(),'Well calls each plate'!J8+3)),
AVERAGE(
    INDIRECT("'Plate map key'!"&amp;ADDRESS(ROW(),TRUNC('Well calls each plate'!J8)+3)),
    INDIRECT("'Plate map key'!"&amp;ADDRESS(ROW(),TRUNC('Well calls each plate'!J8)+4)))
)</f>
        <v>23.4375</v>
      </c>
      <c r="K8" s="34" cm="1">
        <f t="array" aca="1" ref="K8" ca="1">IF(
MOD('Well calls each plate'!K8,1)=0,
INDIRECT("'Plate map key'!"&amp;ADDRESS(ROW(),'Well calls each plate'!K8+3)),
AVERAGE(
    INDIRECT("'Plate map key'!"&amp;ADDRESS(ROW(),TRUNC('Well calls each plate'!K8)+3)),
    INDIRECT("'Plate map key'!"&amp;ADDRESS(ROW(),TRUNC('Well calls each plate'!K8)+4)))
)</f>
        <v>23.4375</v>
      </c>
      <c r="L8" s="34" cm="1">
        <f t="array" aca="1" ref="L8" ca="1">IF(
MOD('Well calls each plate'!L8,1)=0,
INDIRECT("'Plate map key'!"&amp;ADDRESS(ROW(),'Well calls each plate'!L8+3)),
AVERAGE(
    INDIRECT("'Plate map key'!"&amp;ADDRESS(ROW(),TRUNC('Well calls each plate'!L8)+3)),
    INDIRECT("'Plate map key'!"&amp;ADDRESS(ROW(),TRUNC('Well calls each plate'!L8)+4)))
)</f>
        <v>35.15625</v>
      </c>
      <c r="M8" s="34" cm="1">
        <f t="array" aca="1" ref="M8" ca="1">IF(
MOD('Well calls each plate'!M8,1)=0,
INDIRECT("'Plate map key'!"&amp;ADDRESS(ROW(),'Well calls each plate'!M8+3)),
AVERAGE(
    INDIRECT("'Plate map key'!"&amp;ADDRESS(ROW(),TRUNC('Well calls each plate'!M8)+3)),
    INDIRECT("'Plate map key'!"&amp;ADDRESS(ROW(),TRUNC('Well calls each plate'!M8)+4)))
)</f>
        <v>17.578125</v>
      </c>
      <c r="N8" s="34" cm="1">
        <f t="array" aca="1" ref="N8" ca="1">IF(
MOD('Well calls each plate'!N8,1)=0,
INDIRECT("'Plate map key'!"&amp;ADDRESS(ROW(),'Well calls each plate'!N8+3)),
AVERAGE(
    INDIRECT("'Plate map key'!"&amp;ADDRESS(ROW(),TRUNC('Well calls each plate'!N8)+3)),
    INDIRECT("'Plate map key'!"&amp;ADDRESS(ROW(),TRUNC('Well calls each plate'!N8)+4)))
)</f>
        <v>17.578125</v>
      </c>
      <c r="O8" s="34" cm="1">
        <f t="array" aca="1" ref="O8" ca="1">IF(
MOD('Well calls each plate'!O8,1)=0,
INDIRECT("'Plate map key'!"&amp;ADDRESS(ROW(),'Well calls each plate'!O8+3)),
AVERAGE(
    INDIRECT("'Plate map key'!"&amp;ADDRESS(ROW(),TRUNC('Well calls each plate'!O8)+3)),
    INDIRECT("'Plate map key'!"&amp;ADDRESS(ROW(),TRUNC('Well calls each plate'!O8)+4)))
)</f>
        <v>5.859375</v>
      </c>
      <c r="P8" s="34" cm="1">
        <f t="array" aca="1" ref="P8" ca="1">IF(
MOD('Well calls each plate'!P8,1)=0,
INDIRECT("'Plate map key'!"&amp;ADDRESS(ROW(),'Well calls each plate'!P8+3)),
AVERAGE(
    INDIRECT("'Plate map key'!"&amp;ADDRESS(ROW(),TRUNC('Well calls each plate'!P8)+3)),
    INDIRECT("'Plate map key'!"&amp;ADDRESS(ROW(),TRUNC('Well calls each plate'!P8)+4)))
)</f>
        <v>5.859375</v>
      </c>
      <c r="Q8" s="34" cm="1">
        <f t="array" aca="1" ref="Q8" ca="1">IF(
MOD('Well calls each plate'!Q8,1)=0,
INDIRECT("'Plate map key'!"&amp;ADDRESS(ROW(),'Well calls each plate'!Q8+3)),
AVERAGE(
    INDIRECT("'Plate map key'!"&amp;ADDRESS(ROW(),TRUNC('Well calls each plate'!Q8)+3)),
    INDIRECT("'Plate map key'!"&amp;ADDRESS(ROW(),TRUNC('Well calls each plate'!Q8)+4)))
)</f>
        <v>5.859375</v>
      </c>
      <c r="R8" s="34" cm="1">
        <f t="array" aca="1" ref="R8" ca="1">IF(
MOD('Well calls each plate'!R8,1)=0,
INDIRECT("'Plate map key'!"&amp;ADDRESS(ROW(),'Well calls each plate'!R8+3)),
AVERAGE(
    INDIRECT("'Plate map key'!"&amp;ADDRESS(ROW(),TRUNC('Well calls each plate'!R8)+3)),
    INDIRECT("'Plate map key'!"&amp;ADDRESS(ROW(),TRUNC('Well calls each plate'!R8)+4)))
)</f>
        <v>2.197265625</v>
      </c>
      <c r="S8" s="34" cm="1">
        <f t="array" aca="1" ref="S8" ca="1">IF(
MOD('Well calls each plate'!S8,1)=0,
INDIRECT("'Plate map key'!"&amp;ADDRESS(ROW(),'Well calls each plate'!S8+3)),
AVERAGE(
    INDIRECT("'Plate map key'!"&amp;ADDRESS(ROW(),TRUNC('Well calls each plate'!S8)+3)),
    INDIRECT("'Plate map key'!"&amp;ADDRESS(ROW(),TRUNC('Well calls each plate'!S8)+4)))
)</f>
        <v>1.46484375</v>
      </c>
      <c r="T8" s="34" cm="1">
        <f t="array" aca="1" ref="T8" ca="1">IF(
MOD('Well calls each plate'!T8,1)=0,
INDIRECT("'Plate map key'!"&amp;ADDRESS(ROW(),'Well calls each plate'!T8+3)),
AVERAGE(
    INDIRECT("'Plate map key'!"&amp;ADDRESS(ROW(),TRUNC('Well calls each plate'!T8)+3)),
    INDIRECT("'Plate map key'!"&amp;ADDRESS(ROW(),TRUNC('Well calls each plate'!T8)+4)))
)</f>
        <v>2.9296875</v>
      </c>
      <c r="U8" s="34" cm="1">
        <f t="array" aca="1" ref="U8" ca="1">IF(
MOD('Well calls each plate'!U8,1)=0,
INDIRECT("'Plate map key'!"&amp;ADDRESS(ROW(),'Well calls each plate'!U8+3)),
AVERAGE(
    INDIRECT("'Plate map key'!"&amp;ADDRESS(ROW(),TRUNC('Well calls each plate'!U8)+3)),
    INDIRECT("'Plate map key'!"&amp;ADDRESS(ROW(),TRUNC('Well calls each plate'!U8)+4)))
)</f>
        <v>11.71875</v>
      </c>
      <c r="V8" s="34" cm="1">
        <f t="array" aca="1" ref="V8" ca="1">IF(
MOD('Well calls each plate'!V8,1)=0,
INDIRECT("'Plate map key'!"&amp;ADDRESS(ROW(),'Well calls each plate'!V8+3)),
AVERAGE(
    INDIRECT("'Plate map key'!"&amp;ADDRESS(ROW(),TRUNC('Well calls each plate'!V8)+3)),
    INDIRECT("'Plate map key'!"&amp;ADDRESS(ROW(),TRUNC('Well calls each plate'!V8)+4)))
)</f>
        <v>11.71875</v>
      </c>
      <c r="W8" s="34" cm="1">
        <f t="array" aca="1" ref="W8" ca="1">IF(
MOD('Well calls each plate'!W8,1)=0,
INDIRECT("'Plate map key'!"&amp;ADDRESS(ROW(),'Well calls each plate'!W8+3)),
AVERAGE(
    INDIRECT("'Plate map key'!"&amp;ADDRESS(ROW(),TRUNC('Well calls each plate'!W8)+3)),
    INDIRECT("'Plate map key'!"&amp;ADDRESS(ROW(),TRUNC('Well calls each plate'!W8)+4)))
)</f>
        <v>11.71875</v>
      </c>
      <c r="X8" s="34" cm="1">
        <f t="array" aca="1" ref="X8" ca="1">IF(
MOD('Well calls each plate'!X8,1)=0,
INDIRECT("'Plate map key'!"&amp;ADDRESS(ROW(),'Well calls each plate'!X8+3)),
AVERAGE(
    INDIRECT("'Plate map key'!"&amp;ADDRESS(ROW(),TRUNC('Well calls each plate'!X8)+3)),
    INDIRECT("'Plate map key'!"&amp;ADDRESS(ROW(),TRUNC('Well calls each plate'!X8)+4)))
)</f>
        <v>17.578125</v>
      </c>
      <c r="Y8" s="34" cm="1">
        <f t="array" aca="1" ref="Y8" ca="1">IF(
MOD('Well calls each plate'!Y8,1)=0,
INDIRECT("'Plate map key'!"&amp;ADDRESS(ROW(),'Well calls each plate'!Y8+3)),
AVERAGE(
    INDIRECT("'Plate map key'!"&amp;ADDRESS(ROW(),TRUNC('Well calls each plate'!Y8)+3)),
    INDIRECT("'Plate map key'!"&amp;ADDRESS(ROW(),TRUNC('Well calls each plate'!Y8)+4)))
)</f>
        <v>17.578125</v>
      </c>
      <c r="Z8" s="34" cm="1">
        <f t="array" aca="1" ref="Z8" ca="1">IF(
MOD('Well calls each plate'!Z8,1)=0,
INDIRECT("'Plate map key'!"&amp;ADDRESS(ROW(),'Well calls each plate'!Z8+3)),
AVERAGE(
    INDIRECT("'Plate map key'!"&amp;ADDRESS(ROW(),TRUNC('Well calls each plate'!Z8)+3)),
    INDIRECT("'Plate map key'!"&amp;ADDRESS(ROW(),TRUNC('Well calls each plate'!Z8)+4)))
)</f>
        <v>17.578125</v>
      </c>
      <c r="AA8" s="34" cm="1">
        <f t="array" aca="1" ref="AA8" ca="1">IF(
MOD('Well calls each plate'!AA8,1)=0,
INDIRECT("'Plate map key'!"&amp;ADDRESS(ROW(),'Well calls each plate'!AA8+3)),
AVERAGE(
    INDIRECT("'Plate map key'!"&amp;ADDRESS(ROW(),TRUNC('Well calls each plate'!AA8)+3)),
    INDIRECT("'Plate map key'!"&amp;ADDRESS(ROW(),TRUNC('Well calls each plate'!AA8)+4)))
)</f>
        <v>140.625</v>
      </c>
      <c r="AB8" s="34" cm="1">
        <f t="array" aca="1" ref="AB8" ca="1">IF(
MOD('Well calls each plate'!AB8,1)=0,
INDIRECT("'Plate map key'!"&amp;ADDRESS(ROW(),'Well calls each plate'!AB8+3)),
AVERAGE(
    INDIRECT("'Plate map key'!"&amp;ADDRESS(ROW(),TRUNC('Well calls each plate'!AB8)+3)),
    INDIRECT("'Plate map key'!"&amp;ADDRESS(ROW(),TRUNC('Well calls each plate'!AB8)+4)))
)</f>
        <v>140.625</v>
      </c>
      <c r="AC8" s="35" t="str" cm="1">
        <f t="array" aca="1" ref="AC8" ca="1">IF(
MOD('Well calls each plate'!AC8,1)=0,
INDIRECT("'Plate map key'!"&amp;ADDRESS(ROW(),'Well calls each plate'!AC8+3)),
AVERAGE(
    INDIRECT("'Plate map key'!"&amp;ADDRESS(ROW(),TRUNC('Well calls each plate'!AC8)+3)),
    INDIRECT("'Plate map key'!"&amp;ADDRESS(ROW(),TRUNC('Well calls each plate'!AC8)+4)))
)</f>
        <v>F</v>
      </c>
      <c r="AD8" s="34" cm="1">
        <f t="array" aca="1" ref="AD8" ca="1">IF(
MOD('Well calls each plate'!AD8,1)=0,
INDIRECT("'Plate map key'!"&amp;ADDRESS(ROW(),'Well calls each plate'!AD8+3)),
AVERAGE(
    INDIRECT("'Plate map key'!"&amp;ADDRESS(ROW(),TRUNC('Well calls each plate'!AD8)+3)),
    INDIRECT("'Plate map key'!"&amp;ADDRESS(ROW(),TRUNC('Well calls each plate'!AD8)+4)))
)</f>
        <v>750</v>
      </c>
      <c r="AE8" s="34" cm="1">
        <f t="array" aca="1" ref="AE8" ca="1">IF(
MOD('Well calls each plate'!AE8,1)=0,
INDIRECT("'Plate map key'!"&amp;ADDRESS(ROW(),'Well calls each plate'!AE8+3)),
AVERAGE(
    INDIRECT("'Plate map key'!"&amp;ADDRESS(ROW(),TRUNC('Well calls each plate'!AE8)+3)),
    INDIRECT("'Plate map key'!"&amp;ADDRESS(ROW(),TRUNC('Well calls each plate'!AE8)+4)))
)</f>
        <v>750</v>
      </c>
      <c r="AF8" s="34" cm="1">
        <f t="array" aca="1" ref="AF8" ca="1">IF(
MOD('Well calls each plate'!AF8,1)=0,
INDIRECT("'Plate map key'!"&amp;ADDRESS(ROW(),'Well calls each plate'!AF8+3)),
AVERAGE(
    INDIRECT("'Plate map key'!"&amp;ADDRESS(ROW(),TRUNC('Well calls each plate'!AF8)+3)),
    INDIRECT("'Plate map key'!"&amp;ADDRESS(ROW(),TRUNC('Well calls each plate'!AF8)+4)))
)</f>
        <v>750</v>
      </c>
      <c r="AG8" s="34" cm="1">
        <f t="array" aca="1" ref="AG8" ca="1">IF(
MOD('Well calls each plate'!AG8,1)=0,
INDIRECT("'Plate map key'!"&amp;ADDRESS(ROW(),'Well calls each plate'!AG8+3)),
AVERAGE(
    INDIRECT("'Plate map key'!"&amp;ADDRESS(ROW(),TRUNC('Well calls each plate'!AG8)+3)),
    INDIRECT("'Plate map key'!"&amp;ADDRESS(ROW(),TRUNC('Well calls each plate'!AG8)+4)))
)</f>
        <v>375</v>
      </c>
      <c r="AH8" s="34" cm="1">
        <f t="array" aca="1" ref="AH8" ca="1">IF(
MOD('Well calls each plate'!AH8,1)=0,
INDIRECT("'Plate map key'!"&amp;ADDRESS(ROW(),'Well calls each plate'!AH8+3)),
AVERAGE(
    INDIRECT("'Plate map key'!"&amp;ADDRESS(ROW(),TRUNC('Well calls each plate'!AH8)+3)),
    INDIRECT("'Plate map key'!"&amp;ADDRESS(ROW(),TRUNC('Well calls each plate'!AH8)+4)))
)</f>
        <v>375</v>
      </c>
      <c r="AI8" s="34" cm="1">
        <f t="array" aca="1" ref="AI8" ca="1">IF(
MOD('Well calls each plate'!AI8,1)=0,
INDIRECT("'Plate map key'!"&amp;ADDRESS(ROW(),'Well calls each plate'!AI8+3)),
AVERAGE(
    INDIRECT("'Plate map key'!"&amp;ADDRESS(ROW(),TRUNC('Well calls each plate'!AI8)+3)),
    INDIRECT("'Plate map key'!"&amp;ADDRESS(ROW(),TRUNC('Well calls each plate'!AI8)+4)))
)</f>
        <v>375</v>
      </c>
    </row>
    <row r="9" spans="2:35" x14ac:dyDescent="0.2">
      <c r="B9" t="s">
        <v>17</v>
      </c>
      <c r="C9" s="34" cm="1">
        <f t="array" aca="1" ref="C9" ca="1">IF(
MOD('Well calls each plate'!C9,1)=0,
INDIRECT("'Plate map key'!"&amp;ADDRESS(ROW(),'Well calls each plate'!C9+3)),
AVERAGE(
    INDIRECT("'Plate map key'!"&amp;ADDRESS(ROW(),TRUNC('Well calls each plate'!C9)+3)),
    INDIRECT("'Plate map key'!"&amp;ADDRESS(ROW(),TRUNC('Well calls each plate'!C9)+4)))
)</f>
        <v>500</v>
      </c>
      <c r="D9" s="34" cm="1">
        <f t="array" aca="1" ref="D9" ca="1">IF(
MOD('Well calls each plate'!D9,1)=0,
INDIRECT("'Plate map key'!"&amp;ADDRESS(ROW(),'Well calls each plate'!D9+3)),
AVERAGE(
    INDIRECT("'Plate map key'!"&amp;ADDRESS(ROW(),TRUNC('Well calls each plate'!D9)+3)),
    INDIRECT("'Plate map key'!"&amp;ADDRESS(ROW(),TRUNC('Well calls each plate'!D9)+4)))
)</f>
        <v>500</v>
      </c>
      <c r="E9" s="34" cm="1">
        <f t="array" aca="1" ref="E9" ca="1">IF(
MOD('Well calls each plate'!E9,1)=0,
INDIRECT("'Plate map key'!"&amp;ADDRESS(ROW(),'Well calls each plate'!E9+3)),
AVERAGE(
    INDIRECT("'Plate map key'!"&amp;ADDRESS(ROW(),TRUNC('Well calls each plate'!E9)+3)),
    INDIRECT("'Plate map key'!"&amp;ADDRESS(ROW(),TRUNC('Well calls each plate'!E9)+4)))
)</f>
        <v>500</v>
      </c>
      <c r="F9" s="34" cm="1">
        <f t="array" aca="1" ref="F9" ca="1">IF(
MOD('Well calls each plate'!F9,1)=0,
INDIRECT("'Plate map key'!"&amp;ADDRESS(ROW(),'Well calls each plate'!F9+3)),
AVERAGE(
    INDIRECT("'Plate map key'!"&amp;ADDRESS(ROW(),TRUNC('Well calls each plate'!F9)+3)),
    INDIRECT("'Plate map key'!"&amp;ADDRESS(ROW(),TRUNC('Well calls each plate'!F9)+4)))
)</f>
        <v>375</v>
      </c>
      <c r="G9" s="34" cm="1">
        <f t="array" aca="1" ref="G9" ca="1">IF(
MOD('Well calls each plate'!G9,1)=0,
INDIRECT("'Plate map key'!"&amp;ADDRESS(ROW(),'Well calls each plate'!G9+3)),
AVERAGE(
    INDIRECT("'Plate map key'!"&amp;ADDRESS(ROW(),TRUNC('Well calls each plate'!G9)+3)),
    INDIRECT("'Plate map key'!"&amp;ADDRESS(ROW(),TRUNC('Well calls each plate'!G9)+4)))
)</f>
        <v>375</v>
      </c>
      <c r="H9" s="34" cm="1">
        <f t="array" aca="1" ref="H9" ca="1">IF(
MOD('Well calls each plate'!H9,1)=0,
INDIRECT("'Plate map key'!"&amp;ADDRESS(ROW(),'Well calls each plate'!H9+3)),
AVERAGE(
    INDIRECT("'Plate map key'!"&amp;ADDRESS(ROW(),TRUNC('Well calls each plate'!H9)+3)),
    INDIRECT("'Plate map key'!"&amp;ADDRESS(ROW(),TRUNC('Well calls each plate'!H9)+4)))
)</f>
        <v>375</v>
      </c>
      <c r="I9" s="34" cm="1">
        <f t="array" aca="1" ref="I9" ca="1">IF(
MOD('Well calls each plate'!I9,1)=0,
INDIRECT("'Plate map key'!"&amp;ADDRESS(ROW(),'Well calls each plate'!I9+3)),
AVERAGE(
    INDIRECT("'Plate map key'!"&amp;ADDRESS(ROW(),TRUNC('Well calls each plate'!I9)+3)),
    INDIRECT("'Plate map key'!"&amp;ADDRESS(ROW(),TRUNC('Well calls each plate'!I9)+4)))
)</f>
        <v>3.90625</v>
      </c>
      <c r="J9" s="34" cm="1">
        <f t="array" aca="1" ref="J9" ca="1">IF(
MOD('Well calls each plate'!J9,1)=0,
INDIRECT("'Plate map key'!"&amp;ADDRESS(ROW(),'Well calls each plate'!J9+3)),
AVERAGE(
    INDIRECT("'Plate map key'!"&amp;ADDRESS(ROW(),TRUNC('Well calls each plate'!J9)+3)),
    INDIRECT("'Plate map key'!"&amp;ADDRESS(ROW(),TRUNC('Well calls each plate'!J9)+4)))
)</f>
        <v>2.9296875</v>
      </c>
      <c r="K9" s="34" cm="1">
        <f t="array" aca="1" ref="K9" ca="1">IF(
MOD('Well calls each plate'!K9,1)=0,
INDIRECT("'Plate map key'!"&amp;ADDRESS(ROW(),'Well calls each plate'!K9+3)),
AVERAGE(
    INDIRECT("'Plate map key'!"&amp;ADDRESS(ROW(),TRUNC('Well calls each plate'!K9)+3)),
    INDIRECT("'Plate map key'!"&amp;ADDRESS(ROW(),TRUNC('Well calls each plate'!K9)+4)))
)</f>
        <v>2.9296875</v>
      </c>
      <c r="L9" s="34" cm="1">
        <f t="array" aca="1" ref="L9" ca="1">IF(
MOD('Well calls each plate'!L9,1)=0,
INDIRECT("'Plate map key'!"&amp;ADDRESS(ROW(),'Well calls each plate'!L9+3)),
AVERAGE(
    INDIRECT("'Plate map key'!"&amp;ADDRESS(ROW(),TRUNC('Well calls each plate'!L9)+3)),
    INDIRECT("'Plate map key'!"&amp;ADDRESS(ROW(),TRUNC('Well calls each plate'!L9)+4)))
)</f>
        <v>2.9296875</v>
      </c>
      <c r="M9" s="34" cm="1">
        <f t="array" aca="1" ref="M9" ca="1">IF(
MOD('Well calls each plate'!M9,1)=0,
INDIRECT("'Plate map key'!"&amp;ADDRESS(ROW(),'Well calls each plate'!M9+3)),
AVERAGE(
    INDIRECT("'Plate map key'!"&amp;ADDRESS(ROW(),TRUNC('Well calls each plate'!M9)+3)),
    INDIRECT("'Plate map key'!"&amp;ADDRESS(ROW(),TRUNC('Well calls each plate'!M9)+4)))
)</f>
        <v>1.46484375</v>
      </c>
      <c r="N9" s="34" cm="1">
        <f t="array" aca="1" ref="N9" ca="1">IF(
MOD('Well calls each plate'!N9,1)=0,
INDIRECT("'Plate map key'!"&amp;ADDRESS(ROW(),'Well calls each plate'!N9+3)),
AVERAGE(
    INDIRECT("'Plate map key'!"&amp;ADDRESS(ROW(),TRUNC('Well calls each plate'!N9)+3)),
    INDIRECT("'Plate map key'!"&amp;ADDRESS(ROW(),TRUNC('Well calls each plate'!N9)+4)))
)</f>
        <v>1.46484375</v>
      </c>
      <c r="O9" s="34" cm="1">
        <f t="array" aca="1" ref="O9" ca="1">IF(
MOD('Well calls each plate'!O9,1)=0,
INDIRECT("'Plate map key'!"&amp;ADDRESS(ROW(),'Well calls each plate'!O9+3)),
AVERAGE(
    INDIRECT("'Plate map key'!"&amp;ADDRESS(ROW(),TRUNC('Well calls each plate'!O9)+3)),
    INDIRECT("'Plate map key'!"&amp;ADDRESS(ROW(),TRUNC('Well calls each plate'!O9)+4)))
)</f>
        <v>2.9296875</v>
      </c>
      <c r="P9" s="34" cm="1">
        <f t="array" aca="1" ref="P9" ca="1">IF(
MOD('Well calls each plate'!P9,1)=0,
INDIRECT("'Plate map key'!"&amp;ADDRESS(ROW(),'Well calls each plate'!P9+3)),
AVERAGE(
    INDIRECT("'Plate map key'!"&amp;ADDRESS(ROW(),TRUNC('Well calls each plate'!P9)+3)),
    INDIRECT("'Plate map key'!"&amp;ADDRESS(ROW(),TRUNC('Well calls each plate'!P9)+4)))
)</f>
        <v>2.9296875</v>
      </c>
      <c r="Q9" s="34" cm="1">
        <f t="array" aca="1" ref="Q9" ca="1">IF(
MOD('Well calls each plate'!Q9,1)=0,
INDIRECT("'Plate map key'!"&amp;ADDRESS(ROW(),'Well calls each plate'!Q9+3)),
AVERAGE(
    INDIRECT("'Plate map key'!"&amp;ADDRESS(ROW(),TRUNC('Well calls each plate'!Q9)+3)),
    INDIRECT("'Plate map key'!"&amp;ADDRESS(ROW(),TRUNC('Well calls each plate'!Q9)+4)))
)</f>
        <v>2.9296875</v>
      </c>
      <c r="R9" s="34" cm="1">
        <f t="array" aca="1" ref="R9" ca="1">IF(
MOD('Well calls each plate'!R9,1)=0,
INDIRECT("'Plate map key'!"&amp;ADDRESS(ROW(),'Well calls each plate'!R9+3)),
AVERAGE(
    INDIRECT("'Plate map key'!"&amp;ADDRESS(ROW(),TRUNC('Well calls each plate'!R9)+3)),
    INDIRECT("'Plate map key'!"&amp;ADDRESS(ROW(),TRUNC('Well calls each plate'!R9)+4)))
)</f>
        <v>0.18310546875</v>
      </c>
      <c r="S9" s="34" cm="1">
        <f t="array" aca="1" ref="S9" ca="1">IF(
MOD('Well calls each plate'!S9,1)=0,
INDIRECT("'Plate map key'!"&amp;ADDRESS(ROW(),'Well calls each plate'!S9+3)),
AVERAGE(
    INDIRECT("'Plate map key'!"&amp;ADDRESS(ROW(),TRUNC('Well calls each plate'!S9)+3)),
    INDIRECT("'Plate map key'!"&amp;ADDRESS(ROW(),TRUNC('Well calls each plate'!S9)+4)))
)</f>
        <v>0.18310546875</v>
      </c>
      <c r="T9" s="34" cm="1">
        <f t="array" aca="1" ref="T9" ca="1">IF(
MOD('Well calls each plate'!T9,1)=0,
INDIRECT("'Plate map key'!"&amp;ADDRESS(ROW(),'Well calls each plate'!T9+3)),
AVERAGE(
    INDIRECT("'Plate map key'!"&amp;ADDRESS(ROW(),TRUNC('Well calls each plate'!T9)+3)),
    INDIRECT("'Plate map key'!"&amp;ADDRESS(ROW(),TRUNC('Well calls each plate'!T9)+4)))
)</f>
        <v>0.18310546875</v>
      </c>
      <c r="U9" s="34" cm="1">
        <f t="array" aca="1" ref="U9" ca="1">IF(
MOD('Well calls each plate'!U9,1)=0,
INDIRECT("'Plate map key'!"&amp;ADDRESS(ROW(),'Well calls each plate'!U9+3)),
AVERAGE(
    INDIRECT("'Plate map key'!"&amp;ADDRESS(ROW(),TRUNC('Well calls each plate'!U9)+3)),
    INDIRECT("'Plate map key'!"&amp;ADDRESS(ROW(),TRUNC('Well calls each plate'!U9)+4)))
)</f>
        <v>1.46484375</v>
      </c>
      <c r="V9" s="34" cm="1">
        <f t="array" aca="1" ref="V9" ca="1">IF(
MOD('Well calls each plate'!V9,1)=0,
INDIRECT("'Plate map key'!"&amp;ADDRESS(ROW(),'Well calls each plate'!V9+3)),
AVERAGE(
    INDIRECT("'Plate map key'!"&amp;ADDRESS(ROW(),TRUNC('Well calls each plate'!V9)+3)),
    INDIRECT("'Plate map key'!"&amp;ADDRESS(ROW(),TRUNC('Well calls each plate'!V9)+4)))
)</f>
        <v>0.9765625</v>
      </c>
      <c r="W9" s="34" cm="1">
        <f t="array" aca="1" ref="W9" ca="1">IF(
MOD('Well calls each plate'!W9,1)=0,
INDIRECT("'Plate map key'!"&amp;ADDRESS(ROW(),'Well calls each plate'!W9+3)),
AVERAGE(
    INDIRECT("'Plate map key'!"&amp;ADDRESS(ROW(),TRUNC('Well calls each plate'!W9)+3)),
    INDIRECT("'Plate map key'!"&amp;ADDRESS(ROW(),TRUNC('Well calls each plate'!W9)+4)))
)</f>
        <v>0.9765625</v>
      </c>
      <c r="X9" s="34" cm="1">
        <f t="array" aca="1" ref="X9" ca="1">IF(
MOD('Well calls each plate'!X9,1)=0,
INDIRECT("'Plate map key'!"&amp;ADDRESS(ROW(),'Well calls each plate'!X9+3)),
AVERAGE(
    INDIRECT("'Plate map key'!"&amp;ADDRESS(ROW(),TRUNC('Well calls each plate'!X9)+3)),
    INDIRECT("'Plate map key'!"&amp;ADDRESS(ROW(),TRUNC('Well calls each plate'!X9)+4)))
)</f>
        <v>3.90625</v>
      </c>
      <c r="Y9" s="34" cm="1">
        <f t="array" aca="1" ref="Y9" ca="1">IF(
MOD('Well calls each plate'!Y9,1)=0,
INDIRECT("'Plate map key'!"&amp;ADDRESS(ROW(),'Well calls each plate'!Y9+3)),
AVERAGE(
    INDIRECT("'Plate map key'!"&amp;ADDRESS(ROW(),TRUNC('Well calls each plate'!Y9)+3)),
    INDIRECT("'Plate map key'!"&amp;ADDRESS(ROW(),TRUNC('Well calls each plate'!Y9)+4)))
)</f>
        <v>3.90625</v>
      </c>
      <c r="Z9" s="34" cm="1">
        <f t="array" aca="1" ref="Z9" ca="1">IF(
MOD('Well calls each plate'!Z9,1)=0,
INDIRECT("'Plate map key'!"&amp;ADDRESS(ROW(),'Well calls each plate'!Z9+3)),
AVERAGE(
    INDIRECT("'Plate map key'!"&amp;ADDRESS(ROW(),TRUNC('Well calls each plate'!Z9)+3)),
    INDIRECT("'Plate map key'!"&amp;ADDRESS(ROW(),TRUNC('Well calls each plate'!Z9)+4)))
)</f>
        <v>3.90625</v>
      </c>
      <c r="AA9" s="34" cm="1">
        <f t="array" aca="1" ref="AA9" ca="1">IF(
MOD('Well calls each plate'!AA9,1)=0,
INDIRECT("'Plate map key'!"&amp;ADDRESS(ROW(),'Well calls each plate'!AA9+3)),
AVERAGE(
    INDIRECT("'Plate map key'!"&amp;ADDRESS(ROW(),TRUNC('Well calls each plate'!AA9)+3)),
    INDIRECT("'Plate map key'!"&amp;ADDRESS(ROW(),TRUNC('Well calls each plate'!AA9)+4)))
)</f>
        <v>11.71875</v>
      </c>
      <c r="AB9" s="34" cm="1">
        <f t="array" aca="1" ref="AB9" ca="1">IF(
MOD('Well calls each plate'!AB9,1)=0,
INDIRECT("'Plate map key'!"&amp;ADDRESS(ROW(),'Well calls each plate'!AB9+3)),
AVERAGE(
    INDIRECT("'Plate map key'!"&amp;ADDRESS(ROW(),TRUNC('Well calls each plate'!AB9)+3)),
    INDIRECT("'Plate map key'!"&amp;ADDRESS(ROW(),TRUNC('Well calls each plate'!AB9)+4)))
)</f>
        <v>23.4375</v>
      </c>
      <c r="AC9" s="35" t="str" cm="1">
        <f t="array" aca="1" ref="AC9" ca="1">IF(
MOD('Well calls each plate'!AC9,1)=0,
INDIRECT("'Plate map key'!"&amp;ADDRESS(ROW(),'Well calls each plate'!AC9+3)),
AVERAGE(
    INDIRECT("'Plate map key'!"&amp;ADDRESS(ROW(),TRUNC('Well calls each plate'!AC9)+3)),
    INDIRECT("'Plate map key'!"&amp;ADDRESS(ROW(),TRUNC('Well calls each plate'!AC9)+4)))
)</f>
        <v>G</v>
      </c>
      <c r="AD9" s="34" cm="1">
        <f t="array" aca="1" ref="AD9" ca="1">IF(
MOD('Well calls each plate'!AD9,1)=0,
INDIRECT("'Plate map key'!"&amp;ADDRESS(ROW(),'Well calls each plate'!AD9+3)),
AVERAGE(
    INDIRECT("'Plate map key'!"&amp;ADDRESS(ROW(),TRUNC('Well calls each plate'!AD9)+3)),
    INDIRECT("'Plate map key'!"&amp;ADDRESS(ROW(),TRUNC('Well calls each plate'!AD9)+4)))
)</f>
        <v>375</v>
      </c>
      <c r="AE9" s="34" cm="1">
        <f t="array" aca="1" ref="AE9" ca="1">IF(
MOD('Well calls each plate'!AE9,1)=0,
INDIRECT("'Plate map key'!"&amp;ADDRESS(ROW(),'Well calls each plate'!AE9+3)),
AVERAGE(
    INDIRECT("'Plate map key'!"&amp;ADDRESS(ROW(),TRUNC('Well calls each plate'!AE9)+3)),
    INDIRECT("'Plate map key'!"&amp;ADDRESS(ROW(),TRUNC('Well calls each plate'!AE9)+4)))
)</f>
        <v>375</v>
      </c>
      <c r="AF9" s="34" cm="1">
        <f t="array" aca="1" ref="AF9" ca="1">IF(
MOD('Well calls each plate'!AF9,1)=0,
INDIRECT("'Plate map key'!"&amp;ADDRESS(ROW(),'Well calls each plate'!AF9+3)),
AVERAGE(
    INDIRECT("'Plate map key'!"&amp;ADDRESS(ROW(),TRUNC('Well calls each plate'!AF9)+3)),
    INDIRECT("'Plate map key'!"&amp;ADDRESS(ROW(),TRUNC('Well calls each plate'!AF9)+4)))
)</f>
        <v>187.5</v>
      </c>
      <c r="AG9" s="34" cm="1">
        <f t="array" aca="1" ref="AG9" ca="1">IF(
MOD('Well calls each plate'!AG9,1)=0,
INDIRECT("'Plate map key'!"&amp;ADDRESS(ROW(),'Well calls each plate'!AG9+3)),
AVERAGE(
    INDIRECT("'Plate map key'!"&amp;ADDRESS(ROW(),TRUNC('Well calls each plate'!AG9)+3)),
    INDIRECT("'Plate map key'!"&amp;ADDRESS(ROW(),TRUNC('Well calls each plate'!AG9)+4)))
)</f>
        <v>125</v>
      </c>
      <c r="AH9" s="34" cm="1">
        <f t="array" aca="1" ref="AH9" ca="1">IF(
MOD('Well calls each plate'!AH9,1)=0,
INDIRECT("'Plate map key'!"&amp;ADDRESS(ROW(),'Well calls each plate'!AH9+3)),
AVERAGE(
    INDIRECT("'Plate map key'!"&amp;ADDRESS(ROW(),TRUNC('Well calls each plate'!AH9)+3)),
    INDIRECT("'Plate map key'!"&amp;ADDRESS(ROW(),TRUNC('Well calls each plate'!AH9)+4)))
)</f>
        <v>125</v>
      </c>
      <c r="AI9" s="34" cm="1">
        <f t="array" aca="1" ref="AI9" ca="1">IF(
MOD('Well calls each plate'!AI9,1)=0,
INDIRECT("'Plate map key'!"&amp;ADDRESS(ROW(),'Well calls each plate'!AI9+3)),
AVERAGE(
    INDIRECT("'Plate map key'!"&amp;ADDRESS(ROW(),TRUNC('Well calls each plate'!AI9)+3)),
    INDIRECT("'Plate map key'!"&amp;ADDRESS(ROW(),TRUNC('Well calls each plate'!AI9)+4)))
)</f>
        <v>125</v>
      </c>
    </row>
    <row r="13" spans="2:35" x14ac:dyDescent="0.2">
      <c r="B13" t="s">
        <v>43</v>
      </c>
    </row>
  </sheetData>
  <mergeCells count="11">
    <mergeCell ref="AG1:AI1"/>
    <mergeCell ref="C1:E1"/>
    <mergeCell ref="F1:H1"/>
    <mergeCell ref="I1:K1"/>
    <mergeCell ref="L1:N1"/>
    <mergeCell ref="O1:Q1"/>
    <mergeCell ref="R1:T1"/>
    <mergeCell ref="U1:W1"/>
    <mergeCell ref="X1:Z1"/>
    <mergeCell ref="AA1:AC1"/>
    <mergeCell ref="AD1:A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50A03-AEC5-A24E-A33F-A17C431CB3D9}">
  <dimension ref="B1:AI12"/>
  <sheetViews>
    <sheetView zoomScale="94" workbookViewId="0">
      <selection activeCell="B17" sqref="B17"/>
    </sheetView>
  </sheetViews>
  <sheetFormatPr baseColWidth="10" defaultRowHeight="16" x14ac:dyDescent="0.2"/>
  <sheetData>
    <row r="1" spans="2:35" x14ac:dyDescent="0.2">
      <c r="B1" t="s">
        <v>18</v>
      </c>
      <c r="C1" s="36" t="s">
        <v>0</v>
      </c>
      <c r="D1" s="36"/>
      <c r="E1" s="36"/>
      <c r="F1" s="36" t="s">
        <v>1</v>
      </c>
      <c r="G1" s="36"/>
      <c r="H1" s="36"/>
      <c r="I1" s="36" t="s">
        <v>2</v>
      </c>
      <c r="J1" s="36"/>
      <c r="K1" s="36"/>
      <c r="L1" s="36" t="s">
        <v>3</v>
      </c>
      <c r="M1" s="36"/>
      <c r="N1" s="36"/>
      <c r="O1" s="36" t="s">
        <v>4</v>
      </c>
      <c r="P1" s="36"/>
      <c r="Q1" s="36"/>
      <c r="R1" s="36" t="s">
        <v>8</v>
      </c>
      <c r="S1" s="36"/>
      <c r="T1" s="36"/>
      <c r="U1" s="36" t="s">
        <v>5</v>
      </c>
      <c r="V1" s="36"/>
      <c r="W1" s="36"/>
      <c r="X1" s="36" t="s">
        <v>6</v>
      </c>
      <c r="Y1" s="36"/>
      <c r="Z1" s="36"/>
      <c r="AA1" s="36" t="s">
        <v>7</v>
      </c>
      <c r="AB1" s="36"/>
      <c r="AC1" s="36"/>
      <c r="AD1" s="36" t="s">
        <v>9</v>
      </c>
      <c r="AE1" s="36"/>
      <c r="AF1" s="36"/>
      <c r="AG1" s="36" t="s">
        <v>10</v>
      </c>
      <c r="AH1" s="36"/>
      <c r="AI1" s="36"/>
    </row>
    <row r="2" spans="2:35" x14ac:dyDescent="0.2">
      <c r="B2" t="s">
        <v>19</v>
      </c>
      <c r="C2">
        <v>1</v>
      </c>
      <c r="D2">
        <v>2</v>
      </c>
      <c r="E2">
        <v>3</v>
      </c>
      <c r="F2">
        <v>1</v>
      </c>
      <c r="G2">
        <v>2</v>
      </c>
      <c r="H2">
        <v>3</v>
      </c>
      <c r="I2">
        <v>1</v>
      </c>
      <c r="J2">
        <v>2</v>
      </c>
      <c r="K2">
        <v>3</v>
      </c>
      <c r="L2">
        <v>1</v>
      </c>
      <c r="M2">
        <v>2</v>
      </c>
      <c r="N2">
        <v>3</v>
      </c>
      <c r="O2">
        <v>1</v>
      </c>
      <c r="P2">
        <v>2</v>
      </c>
      <c r="Q2">
        <v>3</v>
      </c>
      <c r="R2">
        <v>1</v>
      </c>
      <c r="S2">
        <v>2</v>
      </c>
      <c r="T2">
        <v>3</v>
      </c>
      <c r="U2">
        <v>1</v>
      </c>
      <c r="V2">
        <v>2</v>
      </c>
      <c r="W2">
        <v>3</v>
      </c>
      <c r="X2">
        <v>1</v>
      </c>
      <c r="Y2">
        <v>2</v>
      </c>
      <c r="Z2">
        <v>3</v>
      </c>
      <c r="AA2">
        <v>1</v>
      </c>
      <c r="AB2">
        <v>2</v>
      </c>
      <c r="AC2" s="32">
        <v>3</v>
      </c>
      <c r="AD2">
        <v>1</v>
      </c>
      <c r="AE2">
        <v>2</v>
      </c>
      <c r="AF2">
        <v>3</v>
      </c>
      <c r="AG2">
        <v>1</v>
      </c>
      <c r="AH2">
        <v>2</v>
      </c>
      <c r="AI2">
        <v>3</v>
      </c>
    </row>
    <row r="3" spans="2:35" x14ac:dyDescent="0.2">
      <c r="B3" t="s">
        <v>11</v>
      </c>
      <c r="C3" s="1">
        <v>1</v>
      </c>
      <c r="D3" s="1">
        <v>1</v>
      </c>
      <c r="E3" s="1">
        <v>1</v>
      </c>
      <c r="F3" s="1">
        <v>4.5</v>
      </c>
      <c r="G3" s="1">
        <v>4.5</v>
      </c>
      <c r="H3" s="1">
        <v>4.5</v>
      </c>
      <c r="I3" s="1">
        <v>9.5</v>
      </c>
      <c r="J3" s="1">
        <v>9.5</v>
      </c>
      <c r="K3" s="1">
        <v>9.5</v>
      </c>
      <c r="L3" s="1">
        <v>8.5</v>
      </c>
      <c r="M3" s="1">
        <v>9.5</v>
      </c>
      <c r="N3" s="1">
        <v>9.5</v>
      </c>
      <c r="O3" s="1">
        <v>9</v>
      </c>
      <c r="P3" s="1">
        <v>9</v>
      </c>
      <c r="Q3" s="1">
        <v>9</v>
      </c>
      <c r="R3" s="1">
        <v>13</v>
      </c>
      <c r="S3" s="1">
        <v>13</v>
      </c>
      <c r="T3" s="1">
        <v>13</v>
      </c>
      <c r="U3" s="1">
        <v>10</v>
      </c>
      <c r="V3" s="1">
        <v>10</v>
      </c>
      <c r="W3" s="1">
        <v>10.5</v>
      </c>
      <c r="X3" s="1">
        <v>9.5</v>
      </c>
      <c r="Y3" s="1">
        <v>9.5</v>
      </c>
      <c r="Z3" s="1">
        <v>9.5</v>
      </c>
      <c r="AA3" s="1">
        <v>7.5</v>
      </c>
      <c r="AB3" s="1">
        <v>7.5</v>
      </c>
      <c r="AC3" s="33"/>
      <c r="AD3" s="1">
        <v>1</v>
      </c>
      <c r="AE3" s="1">
        <v>1</v>
      </c>
      <c r="AF3" s="1">
        <v>1</v>
      </c>
      <c r="AG3" s="1">
        <v>3</v>
      </c>
      <c r="AH3" s="1">
        <v>3</v>
      </c>
      <c r="AI3" s="1">
        <v>3</v>
      </c>
    </row>
    <row r="4" spans="2:35" x14ac:dyDescent="0.2">
      <c r="B4" t="s">
        <v>12</v>
      </c>
      <c r="C4" s="1">
        <v>7</v>
      </c>
      <c r="D4" s="1">
        <v>6.5</v>
      </c>
      <c r="E4" s="1">
        <v>6.5</v>
      </c>
      <c r="F4" s="1">
        <v>7</v>
      </c>
      <c r="G4" s="1">
        <v>7</v>
      </c>
      <c r="H4" s="1">
        <v>7</v>
      </c>
      <c r="I4" s="1">
        <v>4.5</v>
      </c>
      <c r="J4" s="33"/>
      <c r="K4" s="33"/>
      <c r="L4" s="1">
        <v>4.5</v>
      </c>
      <c r="M4" s="1">
        <v>5.5</v>
      </c>
      <c r="N4" s="1">
        <v>6</v>
      </c>
      <c r="O4" s="1">
        <v>5</v>
      </c>
      <c r="P4" s="1">
        <v>5</v>
      </c>
      <c r="Q4" s="1">
        <v>5</v>
      </c>
      <c r="R4" s="1">
        <v>7</v>
      </c>
      <c r="S4" s="1">
        <v>7</v>
      </c>
      <c r="T4" s="1">
        <v>7</v>
      </c>
      <c r="U4" s="1">
        <v>7</v>
      </c>
      <c r="V4" s="1">
        <v>7</v>
      </c>
      <c r="W4" s="1">
        <v>7</v>
      </c>
      <c r="X4" s="1">
        <v>5.5</v>
      </c>
      <c r="Y4" s="1">
        <v>5.5</v>
      </c>
      <c r="Z4" s="1">
        <v>5.5</v>
      </c>
      <c r="AA4" s="1">
        <v>5</v>
      </c>
      <c r="AB4" s="1">
        <v>5</v>
      </c>
      <c r="AC4" s="33"/>
      <c r="AD4" s="1">
        <v>7</v>
      </c>
      <c r="AE4" s="1">
        <v>7</v>
      </c>
      <c r="AF4" s="1">
        <v>7</v>
      </c>
      <c r="AG4" s="1">
        <v>6</v>
      </c>
      <c r="AH4" s="1">
        <v>6</v>
      </c>
      <c r="AI4" s="1">
        <v>6</v>
      </c>
    </row>
    <row r="5" spans="2:35" x14ac:dyDescent="0.2">
      <c r="B5" t="s">
        <v>13</v>
      </c>
      <c r="C5" s="1">
        <v>5</v>
      </c>
      <c r="D5" s="1">
        <v>5</v>
      </c>
      <c r="E5" s="1">
        <v>5</v>
      </c>
      <c r="F5" s="1">
        <v>6</v>
      </c>
      <c r="G5" s="1">
        <v>6</v>
      </c>
      <c r="H5" s="1">
        <v>6</v>
      </c>
      <c r="I5" s="1">
        <v>8</v>
      </c>
      <c r="J5" s="1">
        <v>8</v>
      </c>
      <c r="K5" s="1">
        <v>8</v>
      </c>
      <c r="L5" s="1">
        <v>6.5</v>
      </c>
      <c r="M5" s="1">
        <v>7.5</v>
      </c>
      <c r="N5" s="1">
        <v>7</v>
      </c>
      <c r="O5" s="1">
        <v>7</v>
      </c>
      <c r="P5" s="1">
        <v>7</v>
      </c>
      <c r="Q5" s="1">
        <v>7.5</v>
      </c>
      <c r="R5" s="1">
        <v>10</v>
      </c>
      <c r="S5" s="1">
        <v>10</v>
      </c>
      <c r="T5" s="1">
        <v>10</v>
      </c>
      <c r="U5" s="1">
        <v>9</v>
      </c>
      <c r="V5" s="1">
        <v>9</v>
      </c>
      <c r="W5" s="1">
        <v>9</v>
      </c>
      <c r="X5" s="1">
        <v>8</v>
      </c>
      <c r="Y5" s="1">
        <v>8</v>
      </c>
      <c r="Z5" s="1">
        <v>8</v>
      </c>
      <c r="AA5" s="1">
        <v>7</v>
      </c>
      <c r="AB5" s="1">
        <v>7</v>
      </c>
      <c r="AC5" s="33"/>
      <c r="AD5" s="1">
        <v>7</v>
      </c>
      <c r="AE5" s="1">
        <v>7</v>
      </c>
      <c r="AF5" s="1">
        <v>7</v>
      </c>
      <c r="AG5" s="1">
        <v>5</v>
      </c>
      <c r="AH5" s="1">
        <v>5</v>
      </c>
      <c r="AI5" s="1">
        <v>5</v>
      </c>
    </row>
    <row r="6" spans="2:35" x14ac:dyDescent="0.2">
      <c r="B6" t="s">
        <v>14</v>
      </c>
      <c r="C6" s="1">
        <v>1</v>
      </c>
      <c r="D6" s="1">
        <v>1</v>
      </c>
      <c r="E6" s="1">
        <v>1</v>
      </c>
      <c r="F6" s="1">
        <v>1.5</v>
      </c>
      <c r="G6" s="1">
        <v>1</v>
      </c>
      <c r="H6" s="1">
        <v>1.5</v>
      </c>
      <c r="I6" s="1">
        <v>1</v>
      </c>
      <c r="J6" s="1">
        <v>1</v>
      </c>
      <c r="K6" s="1">
        <v>1</v>
      </c>
      <c r="L6" s="1">
        <v>1</v>
      </c>
      <c r="M6" s="1">
        <v>1</v>
      </c>
      <c r="N6" s="1">
        <v>1</v>
      </c>
      <c r="O6" s="1">
        <v>1</v>
      </c>
      <c r="P6" s="1">
        <v>1</v>
      </c>
      <c r="Q6" s="1">
        <v>1</v>
      </c>
      <c r="R6" s="1">
        <v>1</v>
      </c>
      <c r="S6" s="1">
        <v>1</v>
      </c>
      <c r="T6" s="1">
        <v>1</v>
      </c>
      <c r="U6" s="1">
        <v>1</v>
      </c>
      <c r="V6" s="1">
        <v>1</v>
      </c>
      <c r="W6" s="1">
        <v>1</v>
      </c>
      <c r="X6" s="1">
        <v>1</v>
      </c>
      <c r="Y6" s="1">
        <v>1</v>
      </c>
      <c r="Z6" s="1">
        <v>1</v>
      </c>
      <c r="AA6" s="1">
        <v>1</v>
      </c>
      <c r="AB6" s="1">
        <v>1</v>
      </c>
      <c r="AC6" s="33"/>
      <c r="AD6" s="1">
        <v>1</v>
      </c>
      <c r="AE6" s="1">
        <v>1</v>
      </c>
      <c r="AF6" s="1">
        <v>1</v>
      </c>
      <c r="AG6" s="1">
        <v>1</v>
      </c>
      <c r="AH6" s="1">
        <v>1</v>
      </c>
      <c r="AI6" s="1">
        <v>1</v>
      </c>
    </row>
    <row r="7" spans="2:35" x14ac:dyDescent="0.2">
      <c r="B7" t="s">
        <v>15</v>
      </c>
      <c r="C7" s="1">
        <v>1</v>
      </c>
      <c r="D7" s="1">
        <v>1</v>
      </c>
      <c r="E7" s="1">
        <v>1</v>
      </c>
      <c r="F7" s="1">
        <v>1</v>
      </c>
      <c r="G7" s="1">
        <v>1</v>
      </c>
      <c r="H7" s="1">
        <v>1</v>
      </c>
      <c r="I7" s="1">
        <v>6.5</v>
      </c>
      <c r="J7" s="1">
        <v>6.5</v>
      </c>
      <c r="K7" s="1">
        <v>6.5</v>
      </c>
      <c r="L7" s="1">
        <v>6.5</v>
      </c>
      <c r="M7" s="1">
        <v>8</v>
      </c>
      <c r="N7" s="1">
        <v>7.5</v>
      </c>
      <c r="O7" s="1">
        <v>7</v>
      </c>
      <c r="P7" s="1">
        <v>7</v>
      </c>
      <c r="Q7" s="1">
        <v>7</v>
      </c>
      <c r="R7" s="1">
        <v>11.5</v>
      </c>
      <c r="S7" s="1">
        <v>11</v>
      </c>
      <c r="T7" s="1">
        <v>10.5</v>
      </c>
      <c r="U7" s="1">
        <v>8</v>
      </c>
      <c r="V7" s="1">
        <v>8</v>
      </c>
      <c r="W7" s="1">
        <v>8</v>
      </c>
      <c r="X7" s="1">
        <v>7</v>
      </c>
      <c r="Y7" s="1">
        <v>7</v>
      </c>
      <c r="Z7" s="1">
        <v>7</v>
      </c>
      <c r="AA7" s="1">
        <v>5.5</v>
      </c>
      <c r="AB7" s="1">
        <v>4.5</v>
      </c>
      <c r="AC7" s="33"/>
      <c r="AD7" s="1">
        <v>1</v>
      </c>
      <c r="AE7" s="1">
        <v>1</v>
      </c>
      <c r="AF7" s="1">
        <v>1</v>
      </c>
      <c r="AG7" s="1">
        <v>1</v>
      </c>
      <c r="AH7" s="1">
        <v>1</v>
      </c>
      <c r="AI7" s="1">
        <v>1</v>
      </c>
    </row>
    <row r="8" spans="2:35" x14ac:dyDescent="0.2">
      <c r="B8" t="s">
        <v>16</v>
      </c>
      <c r="C8" s="1">
        <v>1</v>
      </c>
      <c r="D8" s="1">
        <v>1</v>
      </c>
      <c r="E8" s="1">
        <v>1</v>
      </c>
      <c r="F8" s="1">
        <v>1</v>
      </c>
      <c r="G8" s="1">
        <v>1</v>
      </c>
      <c r="H8" s="1">
        <v>1</v>
      </c>
      <c r="I8" s="1">
        <v>6</v>
      </c>
      <c r="J8" s="1">
        <v>6</v>
      </c>
      <c r="K8" s="1">
        <v>6</v>
      </c>
      <c r="L8" s="1">
        <v>5.5</v>
      </c>
      <c r="M8" s="1">
        <v>6.5</v>
      </c>
      <c r="N8" s="1">
        <v>6.5</v>
      </c>
      <c r="O8" s="1">
        <v>8</v>
      </c>
      <c r="P8" s="1">
        <v>8</v>
      </c>
      <c r="Q8" s="1">
        <v>8</v>
      </c>
      <c r="R8" s="1">
        <v>9.5</v>
      </c>
      <c r="S8" s="1">
        <v>10</v>
      </c>
      <c r="T8" s="1">
        <v>9</v>
      </c>
      <c r="U8" s="1">
        <v>7</v>
      </c>
      <c r="V8" s="1">
        <v>7</v>
      </c>
      <c r="W8" s="1">
        <v>7</v>
      </c>
      <c r="X8" s="1">
        <v>6.5</v>
      </c>
      <c r="Y8" s="1">
        <v>6.5</v>
      </c>
      <c r="Z8" s="1">
        <v>6.5</v>
      </c>
      <c r="AA8" s="1">
        <v>3.5</v>
      </c>
      <c r="AB8" s="1">
        <v>3.5</v>
      </c>
      <c r="AC8" s="33"/>
      <c r="AD8" s="1">
        <v>1</v>
      </c>
      <c r="AE8" s="1">
        <v>1</v>
      </c>
      <c r="AF8" s="1">
        <v>1</v>
      </c>
      <c r="AG8" s="1">
        <v>2</v>
      </c>
      <c r="AH8" s="1">
        <v>2</v>
      </c>
      <c r="AI8" s="1">
        <v>2</v>
      </c>
    </row>
    <row r="9" spans="2:35" x14ac:dyDescent="0.2">
      <c r="B9" t="s">
        <v>17</v>
      </c>
      <c r="C9" s="1">
        <v>1</v>
      </c>
      <c r="D9" s="1">
        <v>1</v>
      </c>
      <c r="E9" s="1">
        <v>1</v>
      </c>
      <c r="F9" s="1">
        <v>1.5</v>
      </c>
      <c r="G9" s="1">
        <v>1.5</v>
      </c>
      <c r="H9" s="1">
        <v>1.5</v>
      </c>
      <c r="I9" s="1">
        <v>8</v>
      </c>
      <c r="J9" s="1">
        <v>8.5</v>
      </c>
      <c r="K9" s="1">
        <v>8.5</v>
      </c>
      <c r="L9" s="1">
        <v>8.5</v>
      </c>
      <c r="M9" s="1">
        <v>9.5</v>
      </c>
      <c r="N9" s="1">
        <v>9.5</v>
      </c>
      <c r="O9" s="1">
        <v>8.5</v>
      </c>
      <c r="P9" s="1">
        <v>8.5</v>
      </c>
      <c r="Q9" s="1">
        <v>8.5</v>
      </c>
      <c r="R9" s="1">
        <v>12.5</v>
      </c>
      <c r="S9" s="1">
        <v>12.5</v>
      </c>
      <c r="T9" s="1">
        <v>12.5</v>
      </c>
      <c r="U9" s="1">
        <v>9.5</v>
      </c>
      <c r="V9" s="1">
        <v>10</v>
      </c>
      <c r="W9" s="1">
        <v>10</v>
      </c>
      <c r="X9" s="1">
        <v>8</v>
      </c>
      <c r="Y9" s="1">
        <v>8</v>
      </c>
      <c r="Z9" s="1">
        <v>8</v>
      </c>
      <c r="AA9" s="1">
        <v>6.5</v>
      </c>
      <c r="AB9" s="1">
        <v>5.5</v>
      </c>
      <c r="AC9" s="33"/>
      <c r="AD9" s="1">
        <v>1.5</v>
      </c>
      <c r="AE9" s="1">
        <v>1.5</v>
      </c>
      <c r="AF9" s="1">
        <v>2.5</v>
      </c>
      <c r="AG9" s="1">
        <v>3</v>
      </c>
      <c r="AH9" s="1">
        <v>3</v>
      </c>
      <c r="AI9" s="1">
        <v>3</v>
      </c>
    </row>
    <row r="11" spans="2:35" x14ac:dyDescent="0.2">
      <c r="B11" t="s">
        <v>45</v>
      </c>
    </row>
    <row r="12" spans="2:35" x14ac:dyDescent="0.2">
      <c r="B12" t="s">
        <v>46</v>
      </c>
    </row>
  </sheetData>
  <mergeCells count="11">
    <mergeCell ref="AG1:AI1"/>
    <mergeCell ref="C1:E1"/>
    <mergeCell ref="F1:H1"/>
    <mergeCell ref="I1:K1"/>
    <mergeCell ref="L1:N1"/>
    <mergeCell ref="O1:Q1"/>
    <mergeCell ref="R1:T1"/>
    <mergeCell ref="U1:W1"/>
    <mergeCell ref="X1:Z1"/>
    <mergeCell ref="AA1:AC1"/>
    <mergeCell ref="AD1:A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40EAC-95F6-4542-AEE8-36C173F7314E}">
  <dimension ref="B2:P17"/>
  <sheetViews>
    <sheetView workbookViewId="0">
      <selection activeCell="D27" sqref="D27"/>
    </sheetView>
  </sheetViews>
  <sheetFormatPr baseColWidth="10" defaultRowHeight="16" x14ac:dyDescent="0.2"/>
  <sheetData>
    <row r="2" spans="2:16" x14ac:dyDescent="0.2">
      <c r="D2">
        <v>1</v>
      </c>
      <c r="E2">
        <v>2</v>
      </c>
      <c r="F2">
        <v>3</v>
      </c>
      <c r="G2">
        <v>4</v>
      </c>
      <c r="H2">
        <v>5</v>
      </c>
      <c r="I2">
        <v>6</v>
      </c>
      <c r="J2">
        <v>7</v>
      </c>
      <c r="K2">
        <v>8</v>
      </c>
      <c r="L2">
        <v>9</v>
      </c>
      <c r="M2">
        <v>10</v>
      </c>
      <c r="N2">
        <v>11</v>
      </c>
      <c r="O2">
        <v>12</v>
      </c>
      <c r="P2" t="s">
        <v>32</v>
      </c>
    </row>
    <row r="3" spans="2:16" x14ac:dyDescent="0.2">
      <c r="B3" s="3" t="s">
        <v>11</v>
      </c>
      <c r="C3" t="s">
        <v>20</v>
      </c>
      <c r="D3" s="4">
        <v>1000</v>
      </c>
      <c r="E3" s="4">
        <f t="shared" ref="E3:P5" si="0">D3/2</f>
        <v>500</v>
      </c>
      <c r="F3" s="4">
        <f t="shared" si="0"/>
        <v>250</v>
      </c>
      <c r="G3" s="4">
        <f t="shared" si="0"/>
        <v>125</v>
      </c>
      <c r="H3" s="4">
        <f t="shared" si="0"/>
        <v>62.5</v>
      </c>
      <c r="I3" s="4">
        <f t="shared" si="0"/>
        <v>31.25</v>
      </c>
      <c r="J3" s="5">
        <f t="shared" si="0"/>
        <v>15.625</v>
      </c>
      <c r="K3" s="5">
        <f t="shared" si="0"/>
        <v>7.8125</v>
      </c>
      <c r="L3" s="6">
        <f t="shared" si="0"/>
        <v>3.90625</v>
      </c>
      <c r="M3" s="6">
        <f t="shared" si="0"/>
        <v>1.953125</v>
      </c>
      <c r="N3" s="6">
        <f t="shared" si="0"/>
        <v>0.9765625</v>
      </c>
      <c r="O3" s="6">
        <f t="shared" si="0"/>
        <v>0.48828125</v>
      </c>
      <c r="P3" s="6">
        <f t="shared" si="0"/>
        <v>0.244140625</v>
      </c>
    </row>
    <row r="4" spans="2:16" x14ac:dyDescent="0.2">
      <c r="B4" s="7" t="s">
        <v>12</v>
      </c>
      <c r="C4" t="s">
        <v>21</v>
      </c>
      <c r="D4" s="8">
        <v>30</v>
      </c>
      <c r="E4" s="8">
        <f t="shared" si="0"/>
        <v>15</v>
      </c>
      <c r="F4" s="8">
        <f t="shared" si="0"/>
        <v>7.5</v>
      </c>
      <c r="G4" s="8">
        <f t="shared" si="0"/>
        <v>3.75</v>
      </c>
      <c r="H4" s="8">
        <f t="shared" si="0"/>
        <v>1.875</v>
      </c>
      <c r="I4" s="8">
        <f t="shared" si="0"/>
        <v>0.9375</v>
      </c>
      <c r="J4" s="31">
        <f t="shared" si="0"/>
        <v>0.46875</v>
      </c>
      <c r="K4" s="9">
        <f t="shared" si="0"/>
        <v>0.234375</v>
      </c>
      <c r="L4" s="10">
        <f t="shared" si="0"/>
        <v>0.1171875</v>
      </c>
      <c r="M4" s="10">
        <f t="shared" si="0"/>
        <v>5.859375E-2</v>
      </c>
      <c r="N4" s="10">
        <f t="shared" si="0"/>
        <v>2.9296875E-2</v>
      </c>
      <c r="O4" s="10">
        <f t="shared" si="0"/>
        <v>1.46484375E-2</v>
      </c>
      <c r="P4" s="10">
        <f t="shared" si="0"/>
        <v>7.32421875E-3</v>
      </c>
    </row>
    <row r="5" spans="2:16" x14ac:dyDescent="0.2">
      <c r="B5" s="11" t="s">
        <v>22</v>
      </c>
      <c r="C5" t="s">
        <v>23</v>
      </c>
      <c r="D5" s="29">
        <v>5</v>
      </c>
      <c r="E5" s="29">
        <f>D5/2</f>
        <v>2.5</v>
      </c>
      <c r="F5" s="29">
        <f t="shared" si="0"/>
        <v>1.25</v>
      </c>
      <c r="G5" s="29">
        <f t="shared" si="0"/>
        <v>0.625</v>
      </c>
      <c r="H5" s="29">
        <f t="shared" si="0"/>
        <v>0.3125</v>
      </c>
      <c r="I5" s="29">
        <f t="shared" si="0"/>
        <v>0.15625</v>
      </c>
      <c r="J5" s="30">
        <f t="shared" si="0"/>
        <v>7.8125E-2</v>
      </c>
      <c r="K5" s="30">
        <f t="shared" si="0"/>
        <v>3.90625E-2</v>
      </c>
      <c r="L5" s="30">
        <f t="shared" si="0"/>
        <v>1.953125E-2</v>
      </c>
      <c r="M5" s="30">
        <f t="shared" si="0"/>
        <v>9.765625E-3</v>
      </c>
      <c r="N5" s="30">
        <f t="shared" si="0"/>
        <v>4.8828125E-3</v>
      </c>
      <c r="O5" s="30">
        <f t="shared" si="0"/>
        <v>2.44140625E-3</v>
      </c>
      <c r="P5" s="30">
        <f t="shared" si="0"/>
        <v>1.220703125E-3</v>
      </c>
    </row>
    <row r="6" spans="2:16" x14ac:dyDescent="0.2">
      <c r="B6" s="12" t="s">
        <v>14</v>
      </c>
      <c r="C6" t="s">
        <v>24</v>
      </c>
      <c r="D6" s="13">
        <v>400</v>
      </c>
      <c r="E6" s="13">
        <f t="shared" ref="E6:P9" si="1">D6/2</f>
        <v>200</v>
      </c>
      <c r="F6" s="13">
        <f t="shared" si="1"/>
        <v>100</v>
      </c>
      <c r="G6" s="13">
        <f t="shared" si="1"/>
        <v>50</v>
      </c>
      <c r="H6" s="13">
        <f t="shared" si="1"/>
        <v>25</v>
      </c>
      <c r="I6" s="13">
        <f t="shared" si="1"/>
        <v>12.5</v>
      </c>
      <c r="J6" s="14">
        <f t="shared" si="1"/>
        <v>6.25</v>
      </c>
      <c r="K6" s="14">
        <f t="shared" si="1"/>
        <v>3.125</v>
      </c>
      <c r="L6" s="15">
        <f t="shared" si="1"/>
        <v>1.5625</v>
      </c>
      <c r="M6" s="15">
        <f t="shared" si="1"/>
        <v>0.78125</v>
      </c>
      <c r="N6" s="15">
        <f t="shared" si="1"/>
        <v>0.390625</v>
      </c>
      <c r="O6" s="15">
        <f t="shared" si="1"/>
        <v>0.1953125</v>
      </c>
      <c r="P6" s="15">
        <f t="shared" si="1"/>
        <v>9.765625E-2</v>
      </c>
    </row>
    <row r="7" spans="2:16" x14ac:dyDescent="0.2">
      <c r="B7" s="16" t="s">
        <v>15</v>
      </c>
      <c r="C7" t="s">
        <v>25</v>
      </c>
      <c r="D7" s="17">
        <v>750</v>
      </c>
      <c r="E7" s="17">
        <f t="shared" si="1"/>
        <v>375</v>
      </c>
      <c r="F7" s="17">
        <f t="shared" si="1"/>
        <v>187.5</v>
      </c>
      <c r="G7" s="17">
        <f t="shared" si="1"/>
        <v>93.75</v>
      </c>
      <c r="H7" s="17">
        <f t="shared" si="1"/>
        <v>46.875</v>
      </c>
      <c r="I7" s="17">
        <f t="shared" si="1"/>
        <v>23.4375</v>
      </c>
      <c r="J7" s="18">
        <f t="shared" si="1"/>
        <v>11.71875</v>
      </c>
      <c r="K7" s="18">
        <f t="shared" si="1"/>
        <v>5.859375</v>
      </c>
      <c r="L7" s="19">
        <f t="shared" si="1"/>
        <v>2.9296875</v>
      </c>
      <c r="M7" s="19">
        <f t="shared" si="1"/>
        <v>1.46484375</v>
      </c>
      <c r="N7" s="19">
        <f t="shared" si="1"/>
        <v>0.732421875</v>
      </c>
      <c r="O7" s="19">
        <f t="shared" si="1"/>
        <v>0.3662109375</v>
      </c>
      <c r="P7" s="19">
        <f t="shared" si="1"/>
        <v>0.18310546875</v>
      </c>
    </row>
    <row r="8" spans="2:16" x14ac:dyDescent="0.2">
      <c r="B8" s="20" t="s">
        <v>16</v>
      </c>
      <c r="C8" t="s">
        <v>26</v>
      </c>
      <c r="D8" s="21">
        <v>750</v>
      </c>
      <c r="E8" s="21">
        <f>D8/2</f>
        <v>375</v>
      </c>
      <c r="F8" s="21">
        <f t="shared" si="1"/>
        <v>187.5</v>
      </c>
      <c r="G8" s="21">
        <f t="shared" si="1"/>
        <v>93.75</v>
      </c>
      <c r="H8" s="21">
        <f t="shared" si="1"/>
        <v>46.875</v>
      </c>
      <c r="I8" s="21">
        <f t="shared" si="1"/>
        <v>23.4375</v>
      </c>
      <c r="J8" s="22">
        <f t="shared" si="1"/>
        <v>11.71875</v>
      </c>
      <c r="K8" s="22">
        <f t="shared" si="1"/>
        <v>5.859375</v>
      </c>
      <c r="L8" s="23">
        <f t="shared" si="1"/>
        <v>2.9296875</v>
      </c>
      <c r="M8" s="23">
        <f t="shared" si="1"/>
        <v>1.46484375</v>
      </c>
      <c r="N8" s="23">
        <f t="shared" si="1"/>
        <v>0.732421875</v>
      </c>
      <c r="O8" s="23">
        <f t="shared" si="1"/>
        <v>0.3662109375</v>
      </c>
      <c r="P8" s="23">
        <f t="shared" si="1"/>
        <v>0.18310546875</v>
      </c>
    </row>
    <row r="9" spans="2:16" x14ac:dyDescent="0.2">
      <c r="B9" s="24" t="s">
        <v>17</v>
      </c>
      <c r="C9" t="s">
        <v>27</v>
      </c>
      <c r="D9" s="25">
        <v>500</v>
      </c>
      <c r="E9" s="25">
        <f>D9/2</f>
        <v>250</v>
      </c>
      <c r="F9" s="25">
        <f t="shared" si="1"/>
        <v>125</v>
      </c>
      <c r="G9" s="25">
        <f t="shared" si="1"/>
        <v>62.5</v>
      </c>
      <c r="H9" s="25">
        <f t="shared" si="1"/>
        <v>31.25</v>
      </c>
      <c r="I9" s="25">
        <f t="shared" si="1"/>
        <v>15.625</v>
      </c>
      <c r="J9" s="26">
        <f t="shared" si="1"/>
        <v>7.8125</v>
      </c>
      <c r="K9" s="26">
        <f t="shared" si="1"/>
        <v>3.90625</v>
      </c>
      <c r="L9" s="27">
        <f t="shared" si="1"/>
        <v>1.953125</v>
      </c>
      <c r="M9" s="27">
        <f t="shared" si="1"/>
        <v>0.9765625</v>
      </c>
      <c r="N9" s="27">
        <f t="shared" si="1"/>
        <v>0.48828125</v>
      </c>
      <c r="O9" s="27">
        <f t="shared" si="1"/>
        <v>0.244140625</v>
      </c>
      <c r="P9" s="27">
        <f t="shared" si="1"/>
        <v>0.1220703125</v>
      </c>
    </row>
    <row r="10" spans="2:16" x14ac:dyDescent="0.2">
      <c r="B10" s="28" t="s">
        <v>28</v>
      </c>
      <c r="C10" t="s">
        <v>29</v>
      </c>
      <c r="D10" s="37" t="s">
        <v>30</v>
      </c>
      <c r="E10" s="38"/>
      <c r="F10" s="38"/>
      <c r="G10" s="38"/>
      <c r="H10" s="38"/>
      <c r="I10" s="39"/>
      <c r="J10" s="40" t="s">
        <v>31</v>
      </c>
      <c r="K10" s="41"/>
      <c r="L10" s="41"/>
      <c r="M10" s="41"/>
      <c r="N10" s="41"/>
      <c r="O10" s="42"/>
    </row>
    <row r="13" spans="2:16" x14ac:dyDescent="0.2">
      <c r="B13" t="s">
        <v>47</v>
      </c>
    </row>
    <row r="15" spans="2:16" x14ac:dyDescent="0.2">
      <c r="B15" t="s">
        <v>48</v>
      </c>
    </row>
    <row r="16" spans="2:16" x14ac:dyDescent="0.2">
      <c r="B16" t="s">
        <v>61</v>
      </c>
    </row>
    <row r="17" spans="2:13" x14ac:dyDescent="0.2">
      <c r="B17" s="43" t="s">
        <v>49</v>
      </c>
      <c r="C17" s="44" t="s">
        <v>50</v>
      </c>
      <c r="D17" s="44" t="s">
        <v>51</v>
      </c>
      <c r="E17" s="44" t="s">
        <v>52</v>
      </c>
      <c r="F17" s="44" t="s">
        <v>53</v>
      </c>
      <c r="G17" s="44" t="s">
        <v>54</v>
      </c>
      <c r="H17" s="45" t="s">
        <v>55</v>
      </c>
      <c r="I17" s="45" t="s">
        <v>56</v>
      </c>
      <c r="J17" s="46" t="s">
        <v>57</v>
      </c>
      <c r="K17" s="46" t="s">
        <v>58</v>
      </c>
      <c r="L17" s="46" t="s">
        <v>59</v>
      </c>
      <c r="M17" s="46" t="s">
        <v>60</v>
      </c>
    </row>
  </sheetData>
  <mergeCells count="2">
    <mergeCell ref="D10:I10"/>
    <mergeCell ref="J10:O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4</vt:i4>
      </vt:variant>
    </vt:vector>
  </HeadingPairs>
  <TitlesOfParts>
    <vt:vector size="4" baseType="lpstr">
      <vt:lpstr>Median MGCs</vt:lpstr>
      <vt:lpstr>MGCs each plate</vt:lpstr>
      <vt:lpstr>Well calls each plate</vt:lpstr>
      <vt:lpstr>Plate map 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Schock, Sydney</dc:creator>
  <cp:lastModifiedBy>Schock, Sydney</cp:lastModifiedBy>
  <dcterms:created xsi:type="dcterms:W3CDTF">2025-09-10T18:24:51Z</dcterms:created>
  <dcterms:modified xsi:type="dcterms:W3CDTF">2025-09-17T19:58:52Z</dcterms:modified>
</cp:coreProperties>
</file>