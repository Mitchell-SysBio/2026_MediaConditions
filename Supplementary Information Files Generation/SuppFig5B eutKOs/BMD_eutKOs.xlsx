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esktop/Making supplemental figures/Sup5eutExperimentFinal/Analysis/"/>
    </mc:Choice>
  </mc:AlternateContent>
  <xr:revisionPtr revIDLastSave="0" documentId="8_{C30DA909-17D1-E246-B1B3-E34979FDC60B}" xr6:coauthVersionLast="47" xr6:coauthVersionMax="47" xr10:uidLastSave="{00000000-0000-0000-0000-000000000000}"/>
  <bookViews>
    <workbookView xWindow="220" yWindow="720" windowWidth="32460" windowHeight="16680" xr2:uid="{2A2D1829-CF08-344E-A46A-80EBCBEEED0D}"/>
  </bookViews>
  <sheets>
    <sheet name="MGCs" sheetId="2" r:id="rId1"/>
    <sheet name="well calls" sheetId="1" r:id="rId2"/>
    <sheet name="plate map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" i="1" l="1"/>
  <c r="X5" i="1"/>
  <c r="W5" i="1"/>
  <c r="V5" i="1"/>
  <c r="U5" i="1"/>
  <c r="T5" i="1"/>
  <c r="S5" i="1"/>
  <c r="R5" i="1"/>
  <c r="I5" i="1"/>
  <c r="H5" i="1"/>
  <c r="G5" i="1"/>
  <c r="F5" i="1"/>
  <c r="E5" i="1"/>
  <c r="D5" i="1"/>
  <c r="C5" i="1"/>
  <c r="B5" i="1"/>
  <c r="Y4" i="1"/>
  <c r="X4" i="1"/>
  <c r="W4" i="1"/>
  <c r="V4" i="1"/>
  <c r="U4" i="1"/>
  <c r="T4" i="1"/>
  <c r="S4" i="1"/>
  <c r="R4" i="1"/>
  <c r="I4" i="1"/>
  <c r="H4" i="1"/>
  <c r="G4" i="1"/>
  <c r="F4" i="1"/>
  <c r="E4" i="1"/>
  <c r="D4" i="1"/>
  <c r="C4" i="1"/>
  <c r="B4" i="1"/>
  <c r="Y3" i="1"/>
  <c r="X3" i="1"/>
  <c r="W3" i="1"/>
  <c r="V3" i="1"/>
  <c r="U3" i="1"/>
  <c r="T3" i="1"/>
  <c r="S3" i="1"/>
  <c r="R3" i="1"/>
  <c r="I3" i="1"/>
  <c r="H3" i="1"/>
  <c r="G3" i="1"/>
  <c r="F3" i="1"/>
  <c r="E3" i="1"/>
  <c r="D3" i="1"/>
  <c r="C3" i="1"/>
  <c r="B3" i="1"/>
  <c r="Y2" i="1"/>
  <c r="X2" i="1"/>
  <c r="W2" i="1"/>
  <c r="V2" i="1"/>
  <c r="U2" i="1"/>
  <c r="T2" i="1"/>
  <c r="S2" i="1"/>
  <c r="R2" i="1"/>
  <c r="I2" i="1"/>
  <c r="H2" i="1"/>
  <c r="G2" i="1"/>
  <c r="F2" i="1"/>
  <c r="E2" i="1"/>
  <c r="D2" i="1"/>
  <c r="C2" i="1"/>
  <c r="B2" i="1"/>
  <c r="C7" i="3"/>
  <c r="D7" i="3" s="1"/>
  <c r="E7" i="3" s="1"/>
  <c r="F7" i="3" s="1"/>
  <c r="G7" i="3" s="1"/>
  <c r="H7" i="3" s="1"/>
  <c r="I7" i="3" s="1"/>
  <c r="J7" i="3" s="1"/>
  <c r="K7" i="3" s="1"/>
  <c r="L7" i="3" s="1"/>
  <c r="C4" i="3"/>
  <c r="D4" i="3" s="1"/>
  <c r="E4" i="3" s="1"/>
  <c r="F4" i="3" s="1"/>
  <c r="G4" i="3" s="1"/>
  <c r="H4" i="3" s="1"/>
  <c r="I4" i="3" s="1"/>
  <c r="J4" i="3" s="1"/>
  <c r="K4" i="3" s="1"/>
  <c r="L4" i="3" s="1"/>
</calcChain>
</file>

<file path=xl/sharedStrings.xml><?xml version="1.0" encoding="utf-8"?>
<sst xmlns="http://schemas.openxmlformats.org/spreadsheetml/2006/main" count="60" uniqueCount="32">
  <si>
    <t>All media except MAGVN</t>
  </si>
  <si>
    <t>well</t>
  </si>
  <si>
    <t>MAGVN</t>
  </si>
  <si>
    <t>MAG 1</t>
  </si>
  <si>
    <t>MAG 2</t>
  </si>
  <si>
    <t>MAG 3</t>
  </si>
  <si>
    <t>MAG 4</t>
  </si>
  <si>
    <t>DMEM 1</t>
  </si>
  <si>
    <t>DMEM 2</t>
  </si>
  <si>
    <t>DMEM 3</t>
  </si>
  <si>
    <t>DMEM 4</t>
  </si>
  <si>
    <t>MAGV 1</t>
  </si>
  <si>
    <t>MAGV 2</t>
  </si>
  <si>
    <t>MAGV 3</t>
  </si>
  <si>
    <t>MAGV 4</t>
  </si>
  <si>
    <t>MAGVN 1</t>
  </si>
  <si>
    <t>MAGVN 2</t>
  </si>
  <si>
    <t>MAGVN 3</t>
  </si>
  <si>
    <t>MAGVN 4</t>
  </si>
  <si>
    <t>MAGN 1</t>
  </si>
  <si>
    <t>MAGN 2</t>
  </si>
  <si>
    <t>MAGN 3</t>
  </si>
  <si>
    <t>MAGN 4</t>
  </si>
  <si>
    <t>MAGNa 1</t>
  </si>
  <si>
    <t>MAGNa 2</t>
  </si>
  <si>
    <t>MAGNa 3</t>
  </si>
  <si>
    <t>MAGNa 4</t>
  </si>
  <si>
    <t>WT</t>
  </si>
  <si>
    <t>eutI</t>
  </si>
  <si>
    <t>eutN</t>
  </si>
  <si>
    <t>eutQ</t>
  </si>
  <si>
    <t>Note that 12 is skipped when numbering the two plates because 12 was a no drug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</si>
</sst>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</font>
    <font>
      <b/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2" fontId="2" fillId="0" borderId="1" xfId="0" applyNumberFormat="1" applyFont="1" applyBorder="1"/>
    <xf numFmtId="164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09F5-D887-914D-91D9-AC00A07A3D59}">
  <dimension ref="A1:Y5"/>
  <sheetViews>
    <sheetView tabSelected="1" workbookViewId="0">
      <selection activeCell="G17" sqref="G17"/>
    </sheetView>
  </sheetViews>
  <sheetFormatPr baseColWidth="10" defaultRowHeight="16" x14ac:dyDescent="0.2"/>
  <sheetData>
    <row r="1" spans="1:25" x14ac:dyDescent="0.2">
      <c r="A1" s="5"/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</row>
    <row r="2" spans="1:25" x14ac:dyDescent="0.2">
      <c r="A2" s="6" t="s">
        <v>27</v>
      </c>
      <c r="B2" s="7">
        <v>2.1409296192385936</v>
      </c>
      <c r="C2" s="7">
        <v>2.1409296192385936</v>
      </c>
      <c r="D2" s="7">
        <v>2.1409296192385936</v>
      </c>
      <c r="E2" s="7">
        <v>2.1409296192385936</v>
      </c>
      <c r="F2" s="8">
        <v>19.509221155311685</v>
      </c>
      <c r="G2" s="8">
        <v>19.509221155311685</v>
      </c>
      <c r="H2" s="8">
        <v>29.263831732967528</v>
      </c>
      <c r="I2" s="8">
        <v>19.509221155311685</v>
      </c>
      <c r="J2" s="8">
        <v>7.2256374649302533</v>
      </c>
      <c r="K2" s="8">
        <v>7.2256374649302533</v>
      </c>
      <c r="L2" s="8">
        <v>7.2256374649302533</v>
      </c>
      <c r="M2" s="8">
        <v>7.2256374649302533</v>
      </c>
      <c r="N2" s="9">
        <v>740.74074074074065</v>
      </c>
      <c r="O2" s="9">
        <v>740.74074074074065</v>
      </c>
      <c r="P2" s="9">
        <v>1111.1111111111111</v>
      </c>
      <c r="Q2" s="9">
        <v>1111.1111111111111</v>
      </c>
      <c r="R2" s="7">
        <v>2.1409296192385936</v>
      </c>
      <c r="S2" s="7">
        <v>2.1409296192385936</v>
      </c>
      <c r="T2" s="7">
        <v>2.1409296192385936</v>
      </c>
      <c r="U2" s="7">
        <v>2.1409296192385936</v>
      </c>
      <c r="V2" s="7">
        <v>4.8170916432868358</v>
      </c>
      <c r="W2" s="7">
        <v>4.8170916432868358</v>
      </c>
      <c r="X2" s="7">
        <v>4.8170916432868358</v>
      </c>
      <c r="Y2" s="7">
        <v>4.8170916432868358</v>
      </c>
    </row>
    <row r="3" spans="1:25" x14ac:dyDescent="0.2">
      <c r="A3" s="5" t="s">
        <v>28</v>
      </c>
      <c r="B3" s="7">
        <v>2.1409296192385936</v>
      </c>
      <c r="C3" s="7">
        <v>2.1409296192385936</v>
      </c>
      <c r="D3" s="7">
        <v>2.1409296192385936</v>
      </c>
      <c r="E3" s="7">
        <v>2.1409296192385936</v>
      </c>
      <c r="F3" s="8">
        <v>29.263831732967528</v>
      </c>
      <c r="G3" s="8">
        <v>29.263831732967528</v>
      </c>
      <c r="H3" s="8">
        <v>43.89574759945129</v>
      </c>
      <c r="I3" s="8">
        <v>43.89574759945129</v>
      </c>
      <c r="J3" s="8">
        <v>7.2256374649302533</v>
      </c>
      <c r="K3" s="8">
        <v>7.2256374649302533</v>
      </c>
      <c r="L3" s="8">
        <v>7.2256374649302533</v>
      </c>
      <c r="M3" s="8">
        <v>7.2256374649302533</v>
      </c>
      <c r="N3" s="9">
        <v>740.74074074074065</v>
      </c>
      <c r="O3" s="9">
        <v>740.74074074074065</v>
      </c>
      <c r="P3" s="9">
        <v>1111.1111111111111</v>
      </c>
      <c r="Q3" s="9">
        <v>1111.1111111111111</v>
      </c>
      <c r="R3" s="7">
        <v>2.1409296192385936</v>
      </c>
      <c r="S3" s="7">
        <v>2.1409296192385936</v>
      </c>
      <c r="T3" s="7">
        <v>2.1409296192385936</v>
      </c>
      <c r="U3" s="7">
        <v>2.1409296192385936</v>
      </c>
      <c r="V3" s="7">
        <v>4.8170916432868358</v>
      </c>
      <c r="W3" s="7">
        <v>4.8170916432868358</v>
      </c>
      <c r="X3" s="7">
        <v>4.8170916432868358</v>
      </c>
      <c r="Y3" s="7">
        <v>4.8170916432868358</v>
      </c>
    </row>
    <row r="4" spans="1:25" x14ac:dyDescent="0.2">
      <c r="A4" s="5" t="s">
        <v>29</v>
      </c>
      <c r="B4" s="7">
        <v>2.1409296192385936</v>
      </c>
      <c r="C4" s="7">
        <v>2.1409296192385936</v>
      </c>
      <c r="D4" s="7">
        <v>2.1409296192385936</v>
      </c>
      <c r="E4" s="7">
        <v>2.1409296192385936</v>
      </c>
      <c r="F4" s="8">
        <v>43.89574759945129</v>
      </c>
      <c r="G4" s="8">
        <v>43.89574759945129</v>
      </c>
      <c r="H4" s="8">
        <v>43.89574759945129</v>
      </c>
      <c r="I4" s="8">
        <v>43.89574759945129</v>
      </c>
      <c r="J4" s="8">
        <v>7.2256374649302533</v>
      </c>
      <c r="K4" s="8">
        <v>7.2256374649302533</v>
      </c>
      <c r="L4" s="8">
        <v>7.2256374649302533</v>
      </c>
      <c r="M4" s="8">
        <v>7.2256374649302533</v>
      </c>
      <c r="N4" s="9">
        <v>740.74074074074065</v>
      </c>
      <c r="O4" s="9">
        <v>740.74074074074065</v>
      </c>
      <c r="P4" s="9">
        <v>1111.1111111111111</v>
      </c>
      <c r="Q4" s="9">
        <v>1111.1111111111111</v>
      </c>
      <c r="R4" s="7">
        <v>2.1409296192385936</v>
      </c>
      <c r="S4" s="7">
        <v>2.1409296192385936</v>
      </c>
      <c r="T4" s="7">
        <v>1.712743695390875</v>
      </c>
      <c r="U4" s="7">
        <v>1.712743695390875</v>
      </c>
      <c r="V4" s="7">
        <v>4.8170916432868358</v>
      </c>
      <c r="W4" s="7">
        <v>4.8170916432868358</v>
      </c>
      <c r="X4" s="7">
        <v>4.8170916432868358</v>
      </c>
      <c r="Y4" s="7">
        <v>4.8170916432868358</v>
      </c>
    </row>
    <row r="5" spans="1:25" x14ac:dyDescent="0.2">
      <c r="A5" s="5" t="s">
        <v>30</v>
      </c>
      <c r="B5" s="7">
        <v>1.4272864128257292</v>
      </c>
      <c r="C5" s="7">
        <v>1.4272864128257292</v>
      </c>
      <c r="D5" s="7">
        <v>1.4272864128257292</v>
      </c>
      <c r="E5" s="7">
        <v>2.1409296192385936</v>
      </c>
      <c r="F5" s="8">
        <v>29.263831732967528</v>
      </c>
      <c r="G5" s="8">
        <v>29.263831732967528</v>
      </c>
      <c r="H5" s="8">
        <v>29.263831732967528</v>
      </c>
      <c r="I5" s="8">
        <v>43.89574759945129</v>
      </c>
      <c r="J5" s="8">
        <v>7.2256374649302533</v>
      </c>
      <c r="K5" s="8">
        <v>7.2256374649302533</v>
      </c>
      <c r="L5" s="8">
        <v>7.2256374649302533</v>
      </c>
      <c r="M5" s="8">
        <v>7.2256374649302533</v>
      </c>
      <c r="N5" s="9">
        <v>219.47873799725647</v>
      </c>
      <c r="O5" s="9">
        <v>219.47873799725647</v>
      </c>
      <c r="P5" s="9">
        <v>329.21810699588468</v>
      </c>
      <c r="Q5" s="9">
        <v>329.21810699588468</v>
      </c>
      <c r="R5" s="7">
        <v>2.1409296192385936</v>
      </c>
      <c r="S5" s="7">
        <v>2.1409296192385936</v>
      </c>
      <c r="T5" s="7">
        <v>1.712743695390875</v>
      </c>
      <c r="U5" s="7">
        <v>1.712743695390875</v>
      </c>
      <c r="V5" s="7">
        <v>4.8170916432868358</v>
      </c>
      <c r="W5" s="7">
        <v>4.8170916432868358</v>
      </c>
      <c r="X5" s="7">
        <v>4.8170916432868358</v>
      </c>
      <c r="Y5" s="7">
        <v>4.8170916432868358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C3CD-64D7-5541-AF3A-3CE3E57285B7}">
  <dimension ref="A1:Y5"/>
  <sheetViews>
    <sheetView workbookViewId="0">
      <selection activeCell="D12" sqref="D12:D13"/>
    </sheetView>
  </sheetViews>
  <sheetFormatPr baseColWidth="10" defaultRowHeight="16" x14ac:dyDescent="0.2"/>
  <sheetData>
    <row r="1" spans="1:25" x14ac:dyDescent="0.2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 spans="1:25" x14ac:dyDescent="0.2">
      <c r="A2" s="4" t="s">
        <v>27</v>
      </c>
      <c r="B2" s="1">
        <f t="shared" ref="B2:E4" si="0">3.5+12</f>
        <v>15.5</v>
      </c>
      <c r="C2" s="1">
        <f t="shared" si="0"/>
        <v>15.5</v>
      </c>
      <c r="D2" s="1">
        <f t="shared" si="0"/>
        <v>15.5</v>
      </c>
      <c r="E2" s="1">
        <f t="shared" si="0"/>
        <v>15.5</v>
      </c>
      <c r="F2" s="1">
        <f>9</f>
        <v>9</v>
      </c>
      <c r="G2" s="1">
        <f>9</f>
        <v>9</v>
      </c>
      <c r="H2" s="1">
        <f>8</f>
        <v>8</v>
      </c>
      <c r="I2" s="1">
        <f>9</f>
        <v>9</v>
      </c>
      <c r="J2" s="1">
        <v>11.5</v>
      </c>
      <c r="K2" s="1">
        <v>11.5</v>
      </c>
      <c r="L2" s="1">
        <v>11.5</v>
      </c>
      <c r="M2" s="1">
        <v>11.5</v>
      </c>
      <c r="N2" s="1">
        <v>3.5</v>
      </c>
      <c r="O2" s="1">
        <v>3.5</v>
      </c>
      <c r="P2" s="1">
        <v>2.5</v>
      </c>
      <c r="Q2" s="1">
        <v>2.5</v>
      </c>
      <c r="R2" s="1">
        <f t="shared" ref="R2:U5" si="1">3.5+12</f>
        <v>15.5</v>
      </c>
      <c r="S2" s="1">
        <f t="shared" si="1"/>
        <v>15.5</v>
      </c>
      <c r="T2" s="1">
        <f t="shared" si="1"/>
        <v>15.5</v>
      </c>
      <c r="U2" s="1">
        <f t="shared" si="1"/>
        <v>15.5</v>
      </c>
      <c r="V2" s="1">
        <f t="shared" ref="V2:Y5" si="2">1.5+12</f>
        <v>13.5</v>
      </c>
      <c r="W2" s="1">
        <f t="shared" si="2"/>
        <v>13.5</v>
      </c>
      <c r="X2" s="1">
        <f t="shared" si="2"/>
        <v>13.5</v>
      </c>
      <c r="Y2" s="1">
        <f t="shared" si="2"/>
        <v>13.5</v>
      </c>
    </row>
    <row r="3" spans="1:25" x14ac:dyDescent="0.2">
      <c r="A3" t="s">
        <v>28</v>
      </c>
      <c r="B3" s="1">
        <f t="shared" si="0"/>
        <v>15.5</v>
      </c>
      <c r="C3" s="1">
        <f t="shared" si="0"/>
        <v>15.5</v>
      </c>
      <c r="D3" s="1">
        <f t="shared" si="0"/>
        <v>15.5</v>
      </c>
      <c r="E3" s="1">
        <f t="shared" si="0"/>
        <v>15.5</v>
      </c>
      <c r="F3" s="1">
        <f>8</f>
        <v>8</v>
      </c>
      <c r="G3" s="1">
        <f>8</f>
        <v>8</v>
      </c>
      <c r="H3" s="1">
        <f>7</f>
        <v>7</v>
      </c>
      <c r="I3" s="1">
        <f>7</f>
        <v>7</v>
      </c>
      <c r="J3" s="1">
        <v>11.5</v>
      </c>
      <c r="K3" s="1">
        <v>11.5</v>
      </c>
      <c r="L3" s="1">
        <v>11.5</v>
      </c>
      <c r="M3" s="1">
        <v>11.5</v>
      </c>
      <c r="N3" s="1">
        <v>3.5</v>
      </c>
      <c r="O3" s="1">
        <v>3.5</v>
      </c>
      <c r="P3" s="1">
        <v>2.5</v>
      </c>
      <c r="Q3" s="1">
        <v>2.5</v>
      </c>
      <c r="R3" s="1">
        <f t="shared" si="1"/>
        <v>15.5</v>
      </c>
      <c r="S3" s="1">
        <f t="shared" si="1"/>
        <v>15.5</v>
      </c>
      <c r="T3" s="1">
        <f t="shared" si="1"/>
        <v>15.5</v>
      </c>
      <c r="U3" s="1">
        <f t="shared" si="1"/>
        <v>15.5</v>
      </c>
      <c r="V3" s="1">
        <f t="shared" si="2"/>
        <v>13.5</v>
      </c>
      <c r="W3" s="1">
        <f t="shared" si="2"/>
        <v>13.5</v>
      </c>
      <c r="X3" s="1">
        <f t="shared" si="2"/>
        <v>13.5</v>
      </c>
      <c r="Y3" s="1">
        <f t="shared" si="2"/>
        <v>13.5</v>
      </c>
    </row>
    <row r="4" spans="1:25" x14ac:dyDescent="0.2">
      <c r="A4" t="s">
        <v>29</v>
      </c>
      <c r="B4" s="1">
        <f t="shared" si="0"/>
        <v>15.5</v>
      </c>
      <c r="C4" s="1">
        <f t="shared" si="0"/>
        <v>15.5</v>
      </c>
      <c r="D4" s="1">
        <f t="shared" si="0"/>
        <v>15.5</v>
      </c>
      <c r="E4" s="1">
        <f t="shared" si="0"/>
        <v>15.5</v>
      </c>
      <c r="F4" s="1">
        <f>7</f>
        <v>7</v>
      </c>
      <c r="G4" s="1">
        <f>7</f>
        <v>7</v>
      </c>
      <c r="H4" s="1">
        <f>7</f>
        <v>7</v>
      </c>
      <c r="I4" s="1">
        <f>7</f>
        <v>7</v>
      </c>
      <c r="J4" s="1">
        <v>11.5</v>
      </c>
      <c r="K4" s="1">
        <v>11.5</v>
      </c>
      <c r="L4" s="1">
        <v>11.5</v>
      </c>
      <c r="M4" s="1">
        <v>11.5</v>
      </c>
      <c r="N4" s="1">
        <v>3.5</v>
      </c>
      <c r="O4" s="1">
        <v>3.5</v>
      </c>
      <c r="P4" s="1">
        <v>2.5</v>
      </c>
      <c r="Q4" s="1">
        <v>2.5</v>
      </c>
      <c r="R4" s="1">
        <f t="shared" si="1"/>
        <v>15.5</v>
      </c>
      <c r="S4" s="1">
        <f t="shared" si="1"/>
        <v>15.5</v>
      </c>
      <c r="T4" s="1">
        <f>4+12</f>
        <v>16</v>
      </c>
      <c r="U4" s="1">
        <f>4+12</f>
        <v>16</v>
      </c>
      <c r="V4" s="1">
        <f t="shared" si="2"/>
        <v>13.5</v>
      </c>
      <c r="W4" s="1">
        <f t="shared" si="2"/>
        <v>13.5</v>
      </c>
      <c r="X4" s="1">
        <f t="shared" si="2"/>
        <v>13.5</v>
      </c>
      <c r="Y4" s="1">
        <f t="shared" si="2"/>
        <v>13.5</v>
      </c>
    </row>
    <row r="5" spans="1:25" x14ac:dyDescent="0.2">
      <c r="A5" t="s">
        <v>30</v>
      </c>
      <c r="B5" s="1">
        <f>4.5+12</f>
        <v>16.5</v>
      </c>
      <c r="C5" s="1">
        <f>4.5+12</f>
        <v>16.5</v>
      </c>
      <c r="D5" s="1">
        <f>4.5+12</f>
        <v>16.5</v>
      </c>
      <c r="E5" s="1">
        <f>3.5+12</f>
        <v>15.5</v>
      </c>
      <c r="F5" s="1">
        <f>8</f>
        <v>8</v>
      </c>
      <c r="G5" s="1">
        <f>8</f>
        <v>8</v>
      </c>
      <c r="H5" s="1">
        <f>8</f>
        <v>8</v>
      </c>
      <c r="I5" s="1">
        <f>7</f>
        <v>7</v>
      </c>
      <c r="J5" s="1">
        <v>11.5</v>
      </c>
      <c r="K5" s="1">
        <v>11.5</v>
      </c>
      <c r="L5" s="1">
        <v>11.5</v>
      </c>
      <c r="M5" s="1">
        <v>11.5</v>
      </c>
      <c r="N5" s="1">
        <v>6.5</v>
      </c>
      <c r="O5" s="1">
        <v>6.5</v>
      </c>
      <c r="P5" s="1">
        <v>5.5</v>
      </c>
      <c r="Q5" s="1">
        <v>5.5</v>
      </c>
      <c r="R5" s="1">
        <f t="shared" si="1"/>
        <v>15.5</v>
      </c>
      <c r="S5" s="1">
        <f t="shared" si="1"/>
        <v>15.5</v>
      </c>
      <c r="T5" s="1">
        <f>4+12</f>
        <v>16</v>
      </c>
      <c r="U5" s="1">
        <f>4+12</f>
        <v>16</v>
      </c>
      <c r="V5" s="1">
        <f t="shared" si="2"/>
        <v>13.5</v>
      </c>
      <c r="W5" s="1">
        <f t="shared" si="2"/>
        <v>13.5</v>
      </c>
      <c r="X5" s="1">
        <f t="shared" si="2"/>
        <v>13.5</v>
      </c>
      <c r="Y5" s="1">
        <f t="shared" si="2"/>
        <v>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92E8-B6C6-6A49-8B1A-06EB34D84AAD}">
  <dimension ref="A1:W11"/>
  <sheetViews>
    <sheetView workbookViewId="0">
      <selection activeCell="A12" sqref="A12"/>
    </sheetView>
  </sheetViews>
  <sheetFormatPr baseColWidth="10" defaultRowHeight="16" x14ac:dyDescent="0.2"/>
  <sheetData>
    <row r="1" spans="1:23" x14ac:dyDescent="0.2">
      <c r="A1" t="s">
        <v>0</v>
      </c>
    </row>
    <row r="3" spans="1:23" x14ac:dyDescent="0.2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13</v>
      </c>
      <c r="N3">
        <v>14</v>
      </c>
      <c r="O3">
        <v>15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22</v>
      </c>
      <c r="W3">
        <v>23</v>
      </c>
    </row>
    <row r="4" spans="1:23" x14ac:dyDescent="0.2">
      <c r="B4" s="1">
        <v>500</v>
      </c>
      <c r="C4" s="2">
        <f t="shared" ref="C4:L4" si="0">B4/(3/2)</f>
        <v>333.33333333333331</v>
      </c>
      <c r="D4" s="2">
        <f t="shared" si="0"/>
        <v>222.2222222222222</v>
      </c>
      <c r="E4" s="2">
        <f t="shared" si="0"/>
        <v>148.14814814814812</v>
      </c>
      <c r="F4" s="2">
        <f t="shared" si="0"/>
        <v>98.765432098765416</v>
      </c>
      <c r="G4" s="2">
        <f t="shared" si="0"/>
        <v>65.843621399176939</v>
      </c>
      <c r="H4" s="2">
        <f t="shared" si="0"/>
        <v>43.89574759945129</v>
      </c>
      <c r="I4" s="2">
        <f t="shared" si="0"/>
        <v>29.263831732967528</v>
      </c>
      <c r="J4" s="2">
        <f t="shared" si="0"/>
        <v>19.509221155311685</v>
      </c>
      <c r="K4" s="2">
        <f t="shared" si="0"/>
        <v>13.006147436874457</v>
      </c>
      <c r="L4" s="2">
        <f t="shared" si="0"/>
        <v>8.6707649579163046</v>
      </c>
      <c r="M4" s="3">
        <v>5.7805099719442028</v>
      </c>
      <c r="N4" s="3">
        <v>3.8536733146294684</v>
      </c>
      <c r="O4" s="3">
        <v>2.5691155430863124</v>
      </c>
      <c r="P4" s="3">
        <v>1.712743695390875</v>
      </c>
      <c r="Q4" s="3">
        <v>1.1418291302605834</v>
      </c>
      <c r="R4" s="3">
        <v>0.76121942017372224</v>
      </c>
      <c r="S4" s="3">
        <v>0.50747961344914816</v>
      </c>
      <c r="T4" s="3">
        <v>0.33831974229943212</v>
      </c>
      <c r="U4" s="3">
        <v>0.22554649486628808</v>
      </c>
      <c r="V4" s="3">
        <v>0.15036432991085871</v>
      </c>
      <c r="W4" s="3">
        <v>0.10024288660723914</v>
      </c>
    </row>
    <row r="6" spans="1:23" x14ac:dyDescent="0.2"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13</v>
      </c>
      <c r="N6">
        <v>14</v>
      </c>
      <c r="O6">
        <v>15</v>
      </c>
      <c r="P6">
        <v>16</v>
      </c>
      <c r="Q6">
        <v>17</v>
      </c>
      <c r="R6">
        <v>18</v>
      </c>
      <c r="S6">
        <v>19</v>
      </c>
      <c r="T6">
        <v>20</v>
      </c>
      <c r="U6">
        <v>21</v>
      </c>
      <c r="V6">
        <v>22</v>
      </c>
      <c r="W6">
        <v>23</v>
      </c>
    </row>
    <row r="7" spans="1:23" x14ac:dyDescent="0.2">
      <c r="A7" t="s">
        <v>2</v>
      </c>
      <c r="B7" s="1">
        <v>2000</v>
      </c>
      <c r="C7" s="2">
        <f t="shared" ref="C7:L7" si="1">B7/(3/2)</f>
        <v>1333.3333333333333</v>
      </c>
      <c r="D7" s="2">
        <f t="shared" si="1"/>
        <v>888.8888888888888</v>
      </c>
      <c r="E7" s="2">
        <f t="shared" si="1"/>
        <v>592.5925925925925</v>
      </c>
      <c r="F7" s="2">
        <f t="shared" si="1"/>
        <v>395.06172839506166</v>
      </c>
      <c r="G7" s="2">
        <f t="shared" si="1"/>
        <v>263.37448559670776</v>
      </c>
      <c r="H7" s="2">
        <f t="shared" si="1"/>
        <v>175.58299039780516</v>
      </c>
      <c r="I7" s="2">
        <f t="shared" si="1"/>
        <v>117.05532693187011</v>
      </c>
      <c r="J7" s="2">
        <f t="shared" si="1"/>
        <v>78.036884621246742</v>
      </c>
      <c r="K7" s="2">
        <f t="shared" si="1"/>
        <v>52.024589747497828</v>
      </c>
      <c r="L7" s="2">
        <f t="shared" si="1"/>
        <v>34.683059831665219</v>
      </c>
      <c r="M7" s="2">
        <v>23.122039887776811</v>
      </c>
      <c r="N7" s="2">
        <v>15.414693258517874</v>
      </c>
      <c r="O7" s="2">
        <v>10.27646217234525</v>
      </c>
      <c r="P7" s="2">
        <v>6.8509747815635</v>
      </c>
      <c r="Q7" s="2">
        <v>4.5673165210423337</v>
      </c>
      <c r="R7" s="2">
        <v>3.044877680694889</v>
      </c>
      <c r="S7" s="2">
        <v>2.0299184537965926</v>
      </c>
      <c r="T7" s="2">
        <v>1.3532789691977285</v>
      </c>
      <c r="U7" s="2">
        <v>0.90218597946515233</v>
      </c>
      <c r="V7" s="2">
        <v>0.60145731964343485</v>
      </c>
      <c r="W7" s="2">
        <v>0.40097154642895655</v>
      </c>
    </row>
    <row r="11" spans="1:23" x14ac:dyDescent="0.2">
      <c r="A1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MGCs</vt:lpstr>
      <vt:lpstr>well calls</vt:lpstr>
      <vt:lpstr>plate 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2026-08-30T21:18:40Z</dcterms:created>
  <dcterms:modified xsi:type="dcterms:W3CDTF">2026-08-30T21:21:00Z</dcterms:modified>
</cp:coreProperties>
</file>